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yoho/Documents/study/704-Python/Webアプリ_main134_20230513/Streamlit/00_海水データオリジナル_最重要/【最重要】オリジナルデータ/"/>
    </mc:Choice>
  </mc:AlternateContent>
  <xr:revisionPtr revIDLastSave="0" documentId="13_ncr:1_{2AAE7F03-9264-0643-BD58-306586FE9759}" xr6:coauthVersionLast="47" xr6:coauthVersionMax="47" xr10:uidLastSave="{00000000-0000-0000-0000-000000000000}"/>
  <bookViews>
    <workbookView xWindow="7960" yWindow="1740" windowWidth="37020" windowHeight="23900" xr2:uid="{2A75EAD1-C59A-0741-9EE8-6E419DEC8466}"/>
  </bookViews>
  <sheets>
    <sheet name="2026030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2" l="1"/>
  <c r="F36" i="2"/>
  <c r="E36" i="2"/>
  <c r="G35" i="2"/>
  <c r="F35" i="2"/>
  <c r="E35" i="2"/>
  <c r="G34" i="2"/>
  <c r="F34" i="2"/>
  <c r="E34" i="2"/>
  <c r="G33" i="2"/>
  <c r="F33" i="2"/>
  <c r="E33" i="2"/>
  <c r="G32" i="2"/>
  <c r="F32" i="2"/>
  <c r="E32" i="2"/>
  <c r="G31" i="2"/>
  <c r="F31" i="2"/>
  <c r="E31" i="2"/>
  <c r="G30" i="2"/>
  <c r="F30" i="2"/>
  <c r="E30" i="2"/>
  <c r="G29" i="2"/>
  <c r="F29" i="2"/>
  <c r="E29" i="2"/>
  <c r="G28" i="2"/>
  <c r="F28" i="2"/>
  <c r="E28" i="2"/>
  <c r="G27" i="2"/>
  <c r="F27" i="2"/>
  <c r="E27" i="2"/>
  <c r="G26" i="2"/>
  <c r="F26" i="2"/>
  <c r="E26" i="2"/>
  <c r="G25" i="2"/>
  <c r="F25" i="2"/>
  <c r="E25" i="2"/>
  <c r="G24" i="2"/>
  <c r="F24" i="2"/>
  <c r="E24" i="2"/>
  <c r="G23" i="2"/>
  <c r="F23" i="2"/>
  <c r="E23" i="2"/>
  <c r="G22" i="2"/>
  <c r="F22" i="2"/>
  <c r="E22" i="2"/>
  <c r="G21" i="2"/>
  <c r="F21" i="2"/>
  <c r="E21" i="2"/>
  <c r="G20" i="2"/>
  <c r="F20" i="2"/>
  <c r="E20" i="2"/>
  <c r="G19" i="2"/>
  <c r="F19" i="2"/>
  <c r="E19" i="2"/>
  <c r="G18" i="2"/>
  <c r="F18" i="2"/>
  <c r="E18" i="2"/>
  <c r="G17" i="2"/>
  <c r="F17" i="2"/>
  <c r="E17" i="2"/>
  <c r="G16" i="2"/>
  <c r="F16" i="2"/>
  <c r="E16" i="2"/>
  <c r="G15" i="2"/>
  <c r="F15" i="2"/>
  <c r="E15" i="2"/>
  <c r="G14" i="2"/>
  <c r="F14" i="2"/>
  <c r="E14" i="2"/>
  <c r="G13" i="2"/>
  <c r="F13" i="2"/>
  <c r="E13" i="2"/>
  <c r="G12" i="2"/>
  <c r="F12" i="2"/>
  <c r="E12" i="2"/>
  <c r="G11" i="2"/>
  <c r="F11" i="2"/>
  <c r="E11" i="2"/>
  <c r="G10" i="2"/>
  <c r="F10" i="2"/>
  <c r="E10" i="2"/>
  <c r="G9" i="2"/>
  <c r="F9" i="2"/>
  <c r="E9" i="2"/>
  <c r="G8" i="2"/>
  <c r="F8" i="2"/>
  <c r="E8" i="2"/>
  <c r="G7" i="2"/>
  <c r="F7" i="2"/>
  <c r="E7" i="2"/>
  <c r="G6" i="2"/>
  <c r="F6" i="2"/>
  <c r="E6" i="2"/>
  <c r="G5" i="2"/>
  <c r="F5" i="2"/>
  <c r="E5" i="2"/>
  <c r="G4" i="2"/>
  <c r="F4" i="2"/>
  <c r="E4" i="2"/>
  <c r="G3" i="2"/>
  <c r="F3" i="2"/>
  <c r="E3" i="2"/>
  <c r="G2" i="2"/>
  <c r="F2" i="2"/>
  <c r="E2" i="2"/>
</calcChain>
</file>

<file path=xl/sharedStrings.xml><?xml version="1.0" encoding="utf-8"?>
<sst xmlns="http://schemas.openxmlformats.org/spreadsheetml/2006/main" count="198" uniqueCount="61">
  <si>
    <t>Cruise</t>
    <phoneticPr fontId="2"/>
  </si>
  <si>
    <t>Station</t>
    <phoneticPr fontId="2"/>
  </si>
  <si>
    <t>Transect</t>
    <phoneticPr fontId="2"/>
  </si>
  <si>
    <t>Date</t>
    <phoneticPr fontId="2"/>
  </si>
  <si>
    <t>Year</t>
    <phoneticPr fontId="2"/>
  </si>
  <si>
    <t>Month</t>
    <phoneticPr fontId="2"/>
  </si>
  <si>
    <t>Day</t>
    <phoneticPr fontId="2"/>
  </si>
  <si>
    <t>Time</t>
    <phoneticPr fontId="2"/>
  </si>
  <si>
    <t>Longitude_degE</t>
    <phoneticPr fontId="2"/>
  </si>
  <si>
    <t>Latitude_degN</t>
    <phoneticPr fontId="2"/>
  </si>
  <si>
    <t>Depth_m</t>
    <phoneticPr fontId="2"/>
  </si>
  <si>
    <t>TargetDepth_m</t>
    <phoneticPr fontId="2"/>
  </si>
  <si>
    <t>Bottle</t>
    <phoneticPr fontId="2"/>
  </si>
  <si>
    <t>Temperature_degC</t>
    <phoneticPr fontId="2"/>
  </si>
  <si>
    <t>Salinity</t>
  </si>
  <si>
    <t>d18O</t>
    <phoneticPr fontId="2"/>
  </si>
  <si>
    <t>dD</t>
    <phoneticPr fontId="2"/>
  </si>
  <si>
    <t>PI</t>
    <phoneticPr fontId="2"/>
  </si>
  <si>
    <t>Vertical</t>
    <phoneticPr fontId="2"/>
  </si>
  <si>
    <t>Remarks</t>
    <phoneticPr fontId="2"/>
  </si>
  <si>
    <t>d13C</t>
    <phoneticPr fontId="2"/>
  </si>
  <si>
    <t>reference</t>
    <phoneticPr fontId="2"/>
  </si>
  <si>
    <t>Sakamoto_etal_2022</t>
    <phoneticPr fontId="2"/>
  </si>
  <si>
    <t>Sakamoto</t>
    <phoneticPr fontId="2"/>
  </si>
  <si>
    <t>1-10</t>
  </si>
  <si>
    <t>1-50-2a</t>
  </si>
  <si>
    <t>4-10</t>
  </si>
  <si>
    <t>4-50</t>
  </si>
  <si>
    <t>6-10</t>
  </si>
  <si>
    <t>6-50</t>
  </si>
  <si>
    <t>8-10</t>
  </si>
  <si>
    <t>8-50</t>
  </si>
  <si>
    <t>10-10</t>
  </si>
  <si>
    <t>10-50</t>
  </si>
  <si>
    <t>12-52（再）</t>
  </si>
  <si>
    <t>12-8（再）</t>
    <rPh sb="5" eb="6">
      <t>サイ</t>
    </rPh>
    <phoneticPr fontId="2"/>
  </si>
  <si>
    <t>14-10</t>
  </si>
  <si>
    <t>14-50</t>
  </si>
  <si>
    <t>32-10</t>
  </si>
  <si>
    <t>32-50</t>
  </si>
  <si>
    <t>33-10</t>
  </si>
  <si>
    <t>33-50</t>
  </si>
  <si>
    <t>35-10</t>
  </si>
  <si>
    <t>35-50</t>
  </si>
  <si>
    <t>37-10</t>
  </si>
  <si>
    <t>37-50</t>
  </si>
  <si>
    <t>39-10</t>
  </si>
  <si>
    <t>39-50</t>
  </si>
  <si>
    <t>41-10</t>
  </si>
  <si>
    <t>41-50</t>
  </si>
  <si>
    <t>43-10</t>
  </si>
  <si>
    <t>43-50</t>
  </si>
  <si>
    <t>52-10</t>
  </si>
  <si>
    <t>52-50</t>
  </si>
  <si>
    <t>54-10</t>
  </si>
  <si>
    <t>54-50</t>
  </si>
  <si>
    <t>56-10</t>
  </si>
  <si>
    <t>56-50</t>
  </si>
  <si>
    <t>65-50</t>
  </si>
  <si>
    <r>
      <t>Sakamoto, Tatsuya, et al. "Contrasting life-history responses to climate variability in eastern and western North Pacific sardine populations." </t>
    </r>
    <r>
      <rPr>
        <i/>
        <sz val="11"/>
        <color rgb="FF000000"/>
        <rFont val="Aptos Narrow"/>
      </rPr>
      <t>Nature Communications</t>
    </r>
    <r>
      <rPr>
        <sz val="11"/>
        <color rgb="FF000000"/>
        <rFont val="Aptos Narrow"/>
      </rPr>
      <t> 13.1 (2022): 5298.</t>
    </r>
  </si>
  <si>
    <t>Ref_detail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</si>
</sst>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);[Red]\(0\)"/>
    <numFmt numFmtId="177" formatCode="[$-F400]h:mm:ss\ AM/PM"/>
    <numFmt numFmtId="178" formatCode="0.000_);[Red]\(0.000\)"/>
    <numFmt numFmtId="179" formatCode="0.00_);[Red]\(0.00\)"/>
  </numFmts>
  <fonts count="10">
    <font>
      <sz val="12"/>
      <color theme="1"/>
      <name val="游ゴシック"/>
      <family val="2"/>
      <charset val="128"/>
      <scheme val="minor"/>
    </font>
    <font>
      <sz val="10"/>
      <name val="Calibri"/>
      <family val="2"/>
    </font>
    <font>
      <sz val="6"/>
      <name val="游ゴシック"/>
      <family val="2"/>
      <charset val="128"/>
      <scheme val="minor"/>
    </font>
    <font>
      <sz val="11"/>
      <color theme="1"/>
      <name val="Arial"/>
      <family val="2"/>
    </font>
    <font>
      <sz val="10"/>
      <color theme="1"/>
      <name val="Calibri"/>
      <family val="2"/>
      <charset val="128"/>
    </font>
    <font>
      <sz val="11"/>
      <color theme="1"/>
      <name val="游ゴシック"/>
      <family val="2"/>
      <charset val="128"/>
      <scheme val="minor"/>
    </font>
    <font>
      <sz val="10"/>
      <color rgb="FFFF0000"/>
      <name val="Calibri"/>
      <family val="2"/>
    </font>
    <font>
      <sz val="12"/>
      <color theme="1"/>
      <name val="游ゴシック"/>
      <family val="2"/>
      <charset val="128"/>
      <scheme val="minor"/>
    </font>
    <font>
      <sz val="11"/>
      <color rgb="FF000000"/>
      <name val="Aptos Narrow"/>
    </font>
    <font>
      <i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5" fillId="0" borderId="0"/>
    <xf numFmtId="0" fontId="7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right" vertical="center"/>
    </xf>
    <xf numFmtId="2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14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6" fontId="6" fillId="2" borderId="0" xfId="0" applyNumberFormat="1" applyFont="1" applyFill="1" applyAlignment="1">
      <alignment horizontal="center" vertical="center"/>
    </xf>
    <xf numFmtId="178" fontId="6" fillId="2" borderId="0" xfId="0" applyNumberFormat="1" applyFont="1" applyFill="1" applyAlignment="1">
      <alignment horizontal="center" vertical="center"/>
    </xf>
    <xf numFmtId="179" fontId="6" fillId="2" borderId="0" xfId="0" applyNumberFormat="1" applyFont="1" applyFill="1" applyAlignment="1">
      <alignment horizontal="center" vertical="center"/>
    </xf>
    <xf numFmtId="2" fontId="1" fillId="2" borderId="0" xfId="0" applyNumberFormat="1" applyFont="1" applyFill="1" applyAlignment="1">
      <alignment vertical="center"/>
    </xf>
    <xf numFmtId="0" fontId="8" fillId="0" borderId="0" xfId="0" applyFont="1"/>
  </cellXfs>
  <cellStyles count="6">
    <cellStyle name="標準" xfId="0" builtinId="0"/>
    <cellStyle name="標準 2" xfId="1" xr:uid="{0AE62B37-BDC4-6544-B91B-260A5007465C}"/>
    <cellStyle name="標準 2 6" xfId="3" xr:uid="{E46887B7-6299-CE4A-9E85-1C411029E0FB}"/>
    <cellStyle name="標準 3" xfId="5" xr:uid="{0881B32F-DE95-E24E-A71C-309D404596B1}"/>
    <cellStyle name="標準 4" xfId="4" xr:uid="{E7DAB073-F2DA-EF4C-9F48-707CAA943E25}"/>
    <cellStyle name="標準 5" xfId="2" xr:uid="{F9B30653-33CD-5A49-99C4-8B808EBC90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C8BF-01EC-0A42-A165-5D6E3A771978}">
  <dimension ref="A1:W39"/>
  <sheetViews>
    <sheetView tabSelected="1" topLeftCell="B1" zoomScale="82" zoomScaleNormal="82" workbookViewId="0">
      <selection activeCell="W2" sqref="W2"/>
    </sheetView>
  </sheetViews>
  <sheetFormatPr baseColWidth="10" defaultRowHeight="20"/>
  <sheetData>
    <row r="1" spans="1:23" s="1" customFormat="1" ht="14">
      <c r="A1" s="10" t="s">
        <v>0</v>
      </c>
      <c r="B1" s="1" t="s">
        <v>1</v>
      </c>
      <c r="C1" s="1" t="s">
        <v>2</v>
      </c>
      <c r="D1" s="11" t="s">
        <v>3</v>
      </c>
      <c r="E1" s="12" t="s">
        <v>4</v>
      </c>
      <c r="F1" s="12" t="s">
        <v>5</v>
      </c>
      <c r="G1" s="13" t="s">
        <v>6</v>
      </c>
      <c r="H1" s="4" t="s">
        <v>7</v>
      </c>
      <c r="I1" s="16" t="s">
        <v>8</v>
      </c>
      <c r="J1" s="14" t="s">
        <v>9</v>
      </c>
      <c r="K1" s="13" t="s">
        <v>10</v>
      </c>
      <c r="L1" s="3" t="s">
        <v>11</v>
      </c>
      <c r="M1" s="3" t="s">
        <v>12</v>
      </c>
      <c r="N1" s="15" t="s">
        <v>13</v>
      </c>
      <c r="O1" s="14" t="s">
        <v>14</v>
      </c>
      <c r="P1" s="12" t="s">
        <v>15</v>
      </c>
      <c r="Q1" s="10" t="s">
        <v>16</v>
      </c>
      <c r="R1" s="10" t="s">
        <v>20</v>
      </c>
      <c r="S1" s="1" t="s">
        <v>17</v>
      </c>
      <c r="T1" s="10" t="s">
        <v>18</v>
      </c>
      <c r="U1" s="12" t="s">
        <v>21</v>
      </c>
      <c r="V1" s="1" t="s">
        <v>19</v>
      </c>
      <c r="W1" s="1" t="s">
        <v>60</v>
      </c>
    </row>
    <row r="2" spans="1:23" s="7" customFormat="1" ht="15">
      <c r="A2" s="1"/>
      <c r="B2" s="1">
        <v>1</v>
      </c>
      <c r="C2" s="1" t="s">
        <v>22</v>
      </c>
      <c r="D2" s="2">
        <v>42948.606319444443</v>
      </c>
      <c r="E2" s="1">
        <f t="shared" ref="E2:E36" si="0">YEAR(D2)</f>
        <v>2017</v>
      </c>
      <c r="F2" s="1">
        <f t="shared" ref="F2:F36" si="1">MONTH(D2)</f>
        <v>8</v>
      </c>
      <c r="G2" s="3">
        <f t="shared" ref="G2:G36" si="2">DAY(D2)</f>
        <v>1</v>
      </c>
      <c r="H2" s="4">
        <v>0.65</v>
      </c>
      <c r="I2" s="6">
        <v>-117.30452</v>
      </c>
      <c r="J2" s="8">
        <v>32.956159999999997</v>
      </c>
      <c r="K2" s="5">
        <v>10</v>
      </c>
      <c r="L2" s="5">
        <v>10</v>
      </c>
      <c r="M2" s="5" t="s">
        <v>24</v>
      </c>
      <c r="N2" s="9">
        <v>21.085000000000001</v>
      </c>
      <c r="O2" s="8">
        <v>33.460299999999997</v>
      </c>
      <c r="P2" s="6">
        <v>-0.301563251764706</v>
      </c>
      <c r="Q2" s="6">
        <v>-1.5876664705882355</v>
      </c>
      <c r="S2" s="1" t="s">
        <v>23</v>
      </c>
      <c r="T2" s="1"/>
      <c r="U2" s="1" t="s">
        <v>22</v>
      </c>
      <c r="W2" s="17" t="s">
        <v>59</v>
      </c>
    </row>
    <row r="3" spans="1:23" s="7" customFormat="1" ht="15">
      <c r="A3" s="1"/>
      <c r="B3" s="1">
        <v>1</v>
      </c>
      <c r="C3" s="1" t="s">
        <v>22</v>
      </c>
      <c r="D3" s="2">
        <v>42948.607673611114</v>
      </c>
      <c r="E3" s="1">
        <f t="shared" si="0"/>
        <v>2017</v>
      </c>
      <c r="F3" s="1">
        <f t="shared" si="1"/>
        <v>8</v>
      </c>
      <c r="G3" s="3">
        <f t="shared" si="2"/>
        <v>1</v>
      </c>
      <c r="H3" s="4">
        <v>0.65</v>
      </c>
      <c r="I3" s="6">
        <v>-117.30452</v>
      </c>
      <c r="J3" s="8">
        <v>32.956180000000003</v>
      </c>
      <c r="K3" s="5">
        <v>50</v>
      </c>
      <c r="L3" s="5">
        <v>52</v>
      </c>
      <c r="M3" s="5" t="s">
        <v>25</v>
      </c>
      <c r="N3" s="9">
        <v>11.786</v>
      </c>
      <c r="O3" s="8">
        <v>33.450800000000001</v>
      </c>
      <c r="P3" s="6">
        <v>-0.33791422064516108</v>
      </c>
      <c r="Q3" s="6">
        <v>-1.8730419580645163</v>
      </c>
      <c r="S3" s="1" t="s">
        <v>23</v>
      </c>
      <c r="T3" s="1"/>
      <c r="U3" s="1" t="s">
        <v>22</v>
      </c>
      <c r="W3" s="17" t="s">
        <v>59</v>
      </c>
    </row>
    <row r="4" spans="1:23" s="7" customFormat="1" ht="15">
      <c r="A4" s="1"/>
      <c r="B4" s="1">
        <v>4</v>
      </c>
      <c r="C4" s="1" t="s">
        <v>22</v>
      </c>
      <c r="D4" s="2">
        <v>42948.908645833333</v>
      </c>
      <c r="E4" s="1">
        <f t="shared" si="0"/>
        <v>2017</v>
      </c>
      <c r="F4" s="1">
        <f t="shared" si="1"/>
        <v>8</v>
      </c>
      <c r="G4" s="3">
        <f t="shared" si="2"/>
        <v>1</v>
      </c>
      <c r="H4" s="4">
        <v>0.65</v>
      </c>
      <c r="I4" s="6">
        <v>-117.53091999999999</v>
      </c>
      <c r="J4" s="8">
        <v>32.847180000000002</v>
      </c>
      <c r="K4" s="5">
        <v>10</v>
      </c>
      <c r="L4" s="5">
        <v>10</v>
      </c>
      <c r="M4" s="5" t="s">
        <v>26</v>
      </c>
      <c r="N4" s="9">
        <v>21.37</v>
      </c>
      <c r="O4" s="8">
        <v>33.441000000000003</v>
      </c>
      <c r="P4" s="6">
        <v>-0.29974627764705875</v>
      </c>
      <c r="Q4" s="6">
        <v>-1.4940562058823526</v>
      </c>
      <c r="S4" s="1" t="s">
        <v>23</v>
      </c>
      <c r="T4" s="1"/>
      <c r="U4" s="1" t="s">
        <v>22</v>
      </c>
      <c r="W4" s="17" t="s">
        <v>59</v>
      </c>
    </row>
    <row r="5" spans="1:23" s="7" customFormat="1" ht="15">
      <c r="A5" s="1"/>
      <c r="B5" s="1">
        <v>4</v>
      </c>
      <c r="C5" s="1" t="s">
        <v>22</v>
      </c>
      <c r="D5" s="2">
        <v>42948.909571759257</v>
      </c>
      <c r="E5" s="1">
        <f t="shared" si="0"/>
        <v>2017</v>
      </c>
      <c r="F5" s="1">
        <f t="shared" si="1"/>
        <v>8</v>
      </c>
      <c r="G5" s="3">
        <f t="shared" si="2"/>
        <v>1</v>
      </c>
      <c r="H5" s="4">
        <v>0.65</v>
      </c>
      <c r="I5" s="6">
        <v>-117.5309</v>
      </c>
      <c r="J5" s="8">
        <v>32.847180000000002</v>
      </c>
      <c r="K5" s="5">
        <v>50</v>
      </c>
      <c r="L5" s="5">
        <v>50</v>
      </c>
      <c r="M5" s="5" t="s">
        <v>27</v>
      </c>
      <c r="N5" s="9">
        <v>13.082000000000001</v>
      </c>
      <c r="O5" s="8">
        <v>33.299599999999998</v>
      </c>
      <c r="P5" s="6">
        <v>-0.33602559529411802</v>
      </c>
      <c r="Q5" s="6">
        <v>-1.884552411764707</v>
      </c>
      <c r="S5" s="1" t="s">
        <v>23</v>
      </c>
      <c r="T5" s="1"/>
      <c r="U5" s="1" t="s">
        <v>22</v>
      </c>
      <c r="W5" s="17" t="s">
        <v>59</v>
      </c>
    </row>
    <row r="6" spans="1:23" s="7" customFormat="1" ht="15">
      <c r="A6" s="1"/>
      <c r="B6" s="1">
        <v>6</v>
      </c>
      <c r="C6" s="1" t="s">
        <v>22</v>
      </c>
      <c r="D6" s="2">
        <v>42949.251238425924</v>
      </c>
      <c r="E6" s="1">
        <f t="shared" si="0"/>
        <v>2017</v>
      </c>
      <c r="F6" s="1">
        <f t="shared" si="1"/>
        <v>8</v>
      </c>
      <c r="G6" s="3">
        <f t="shared" si="2"/>
        <v>2</v>
      </c>
      <c r="H6" s="4">
        <v>0.65</v>
      </c>
      <c r="I6" s="6">
        <v>-118.21438000000001</v>
      </c>
      <c r="J6" s="8">
        <v>32.513399999999997</v>
      </c>
      <c r="K6" s="5">
        <v>10</v>
      </c>
      <c r="L6" s="5">
        <v>11</v>
      </c>
      <c r="M6" s="5" t="s">
        <v>28</v>
      </c>
      <c r="N6" s="9">
        <v>18.672999999999998</v>
      </c>
      <c r="O6" s="8">
        <v>33.354999999999997</v>
      </c>
      <c r="P6" s="6">
        <v>-0.26282105290322577</v>
      </c>
      <c r="Q6" s="6">
        <v>-1.8123557612903225</v>
      </c>
      <c r="S6" s="1" t="s">
        <v>23</v>
      </c>
      <c r="T6" s="1"/>
      <c r="U6" s="1" t="s">
        <v>22</v>
      </c>
      <c r="W6" s="17" t="s">
        <v>59</v>
      </c>
    </row>
    <row r="7" spans="1:23" s="7" customFormat="1" ht="15">
      <c r="A7" s="1"/>
      <c r="B7" s="1">
        <v>6</v>
      </c>
      <c r="C7" s="1" t="s">
        <v>22</v>
      </c>
      <c r="D7" s="2">
        <v>42949.252152777779</v>
      </c>
      <c r="E7" s="1">
        <f t="shared" si="0"/>
        <v>2017</v>
      </c>
      <c r="F7" s="1">
        <f t="shared" si="1"/>
        <v>8</v>
      </c>
      <c r="G7" s="3">
        <f t="shared" si="2"/>
        <v>2</v>
      </c>
      <c r="H7" s="4">
        <v>0.65</v>
      </c>
      <c r="I7" s="6">
        <v>-118.21438000000001</v>
      </c>
      <c r="J7" s="8">
        <v>32.513399999999997</v>
      </c>
      <c r="K7" s="5">
        <v>50</v>
      </c>
      <c r="L7" s="5">
        <v>51</v>
      </c>
      <c r="M7" s="5" t="s">
        <v>29</v>
      </c>
      <c r="N7" s="9">
        <v>14.002000000000001</v>
      </c>
      <c r="O7" s="8">
        <v>33.241900000000001</v>
      </c>
      <c r="P7" s="6">
        <v>-0.36510335354838719</v>
      </c>
      <c r="Q7" s="6">
        <v>-2.3418999193548382</v>
      </c>
      <c r="S7" s="1" t="s">
        <v>23</v>
      </c>
      <c r="T7" s="1"/>
      <c r="U7" s="1" t="s">
        <v>22</v>
      </c>
      <c r="W7" s="17" t="s">
        <v>59</v>
      </c>
    </row>
    <row r="8" spans="1:23" s="7" customFormat="1" ht="15">
      <c r="A8" s="1"/>
      <c r="B8" s="1">
        <v>8</v>
      </c>
      <c r="C8" s="1" t="s">
        <v>22</v>
      </c>
      <c r="D8" s="2">
        <v>42949.60297453704</v>
      </c>
      <c r="E8" s="1">
        <f t="shared" si="0"/>
        <v>2017</v>
      </c>
      <c r="F8" s="1">
        <f t="shared" si="1"/>
        <v>8</v>
      </c>
      <c r="G8" s="3">
        <f t="shared" si="2"/>
        <v>2</v>
      </c>
      <c r="H8" s="4">
        <v>0.65</v>
      </c>
      <c r="I8" s="6">
        <v>-118.89355999999999</v>
      </c>
      <c r="J8" s="8">
        <v>32.179580000000001</v>
      </c>
      <c r="K8" s="5">
        <v>10</v>
      </c>
      <c r="L8" s="5">
        <v>11</v>
      </c>
      <c r="M8" s="5" t="s">
        <v>30</v>
      </c>
      <c r="N8" s="9">
        <v>18.385999999999999</v>
      </c>
      <c r="O8" s="8">
        <v>33.560600000000001</v>
      </c>
      <c r="P8" s="6">
        <v>-0.262517779354839</v>
      </c>
      <c r="Q8" s="6">
        <v>-1.4009216419354837</v>
      </c>
      <c r="S8" s="1" t="s">
        <v>23</v>
      </c>
      <c r="T8" s="1"/>
      <c r="U8" s="1" t="s">
        <v>22</v>
      </c>
      <c r="W8" s="17" t="s">
        <v>59</v>
      </c>
    </row>
    <row r="9" spans="1:23" s="7" customFormat="1" ht="15">
      <c r="A9" s="1"/>
      <c r="B9" s="1">
        <v>8</v>
      </c>
      <c r="C9" s="1" t="s">
        <v>22</v>
      </c>
      <c r="D9" s="2">
        <v>42949.603888888887</v>
      </c>
      <c r="E9" s="1">
        <f t="shared" si="0"/>
        <v>2017</v>
      </c>
      <c r="F9" s="1">
        <f t="shared" si="1"/>
        <v>8</v>
      </c>
      <c r="G9" s="3">
        <f t="shared" si="2"/>
        <v>2</v>
      </c>
      <c r="H9" s="4">
        <v>0.65</v>
      </c>
      <c r="I9" s="6">
        <v>-118.89355999999999</v>
      </c>
      <c r="J9" s="8">
        <v>32.179580000000001</v>
      </c>
      <c r="K9" s="5">
        <v>50</v>
      </c>
      <c r="L9" s="5">
        <v>50</v>
      </c>
      <c r="M9" s="5" t="s">
        <v>31</v>
      </c>
      <c r="N9" s="9">
        <v>11.875999999999999</v>
      </c>
      <c r="O9" s="8">
        <v>33.490099999999998</v>
      </c>
      <c r="P9" s="6">
        <v>-0.2688938164705883</v>
      </c>
      <c r="Q9" s="6">
        <v>-1.4303610588235296</v>
      </c>
      <c r="S9" s="1" t="s">
        <v>23</v>
      </c>
      <c r="T9" s="1"/>
      <c r="U9" s="1" t="s">
        <v>22</v>
      </c>
      <c r="W9" s="17" t="s">
        <v>59</v>
      </c>
    </row>
    <row r="10" spans="1:23" s="7" customFormat="1" ht="15">
      <c r="A10" s="1"/>
      <c r="B10" s="1">
        <v>10</v>
      </c>
      <c r="C10" s="1" t="s">
        <v>22</v>
      </c>
      <c r="D10" s="2">
        <v>42949.931319444448</v>
      </c>
      <c r="E10" s="1">
        <f t="shared" si="0"/>
        <v>2017</v>
      </c>
      <c r="F10" s="1">
        <f t="shared" si="1"/>
        <v>8</v>
      </c>
      <c r="G10" s="3">
        <f t="shared" si="2"/>
        <v>2</v>
      </c>
      <c r="H10" s="4">
        <v>0.65</v>
      </c>
      <c r="I10" s="6">
        <v>-119.57013999999999</v>
      </c>
      <c r="J10" s="8">
        <v>31.84816</v>
      </c>
      <c r="K10" s="5">
        <v>10</v>
      </c>
      <c r="L10" s="5">
        <v>11</v>
      </c>
      <c r="M10" s="5" t="s">
        <v>32</v>
      </c>
      <c r="N10" s="9">
        <v>18.733000000000001</v>
      </c>
      <c r="O10" s="8">
        <v>33.302999999999997</v>
      </c>
      <c r="P10" s="6">
        <v>-0.31179125176470612</v>
      </c>
      <c r="Q10" s="6">
        <v>-2.0176174705882346</v>
      </c>
      <c r="S10" s="1" t="s">
        <v>23</v>
      </c>
      <c r="T10" s="1"/>
      <c r="U10" s="1" t="s">
        <v>22</v>
      </c>
      <c r="W10" s="17" t="s">
        <v>59</v>
      </c>
    </row>
    <row r="11" spans="1:23" s="7" customFormat="1" ht="15">
      <c r="A11" s="1"/>
      <c r="B11" s="1">
        <v>10</v>
      </c>
      <c r="C11" s="1" t="s">
        <v>22</v>
      </c>
      <c r="D11" s="2">
        <v>42949.932222222225</v>
      </c>
      <c r="E11" s="1">
        <f t="shared" si="0"/>
        <v>2017</v>
      </c>
      <c r="F11" s="1">
        <f t="shared" si="1"/>
        <v>8</v>
      </c>
      <c r="G11" s="3">
        <f t="shared" si="2"/>
        <v>2</v>
      </c>
      <c r="H11" s="4">
        <v>0.65</v>
      </c>
      <c r="I11" s="6">
        <v>-119.57013000000001</v>
      </c>
      <c r="J11" s="8">
        <v>31.84815</v>
      </c>
      <c r="K11" s="5">
        <v>50</v>
      </c>
      <c r="L11" s="5">
        <v>50</v>
      </c>
      <c r="M11" s="5" t="s">
        <v>33</v>
      </c>
      <c r="N11" s="9">
        <v>14.92</v>
      </c>
      <c r="O11" s="8">
        <v>33.2209</v>
      </c>
      <c r="P11" s="6">
        <v>-0.37081282823529449</v>
      </c>
      <c r="Q11" s="6">
        <v>-1.816607029411764</v>
      </c>
      <c r="S11" s="1" t="s">
        <v>23</v>
      </c>
      <c r="T11" s="1"/>
      <c r="U11" s="1" t="s">
        <v>22</v>
      </c>
      <c r="W11" s="17" t="s">
        <v>59</v>
      </c>
    </row>
    <row r="12" spans="1:23" s="7" customFormat="1" ht="15">
      <c r="A12" s="1"/>
      <c r="B12" s="1">
        <v>12</v>
      </c>
      <c r="C12" s="1" t="s">
        <v>22</v>
      </c>
      <c r="D12" s="2">
        <v>42950.414166666669</v>
      </c>
      <c r="E12" s="1">
        <f t="shared" si="0"/>
        <v>2017</v>
      </c>
      <c r="F12" s="1">
        <f t="shared" si="1"/>
        <v>8</v>
      </c>
      <c r="G12" s="3">
        <f t="shared" si="2"/>
        <v>3</v>
      </c>
      <c r="H12" s="4">
        <v>0.65</v>
      </c>
      <c r="I12" s="6">
        <v>-120.92116</v>
      </c>
      <c r="J12" s="8">
        <v>31.179760000000002</v>
      </c>
      <c r="K12" s="5">
        <v>52</v>
      </c>
      <c r="L12" s="5">
        <v>8</v>
      </c>
      <c r="M12" s="5" t="s">
        <v>34</v>
      </c>
      <c r="N12" s="9">
        <v>17.462</v>
      </c>
      <c r="O12" s="8">
        <v>33.242899999999999</v>
      </c>
      <c r="P12" s="6">
        <v>-0.40996146709677417</v>
      </c>
      <c r="Q12" s="6">
        <v>-2.4418047387096768</v>
      </c>
      <c r="S12" s="1" t="s">
        <v>23</v>
      </c>
      <c r="T12" s="1"/>
      <c r="U12" s="1" t="s">
        <v>22</v>
      </c>
      <c r="W12" s="17" t="s">
        <v>59</v>
      </c>
    </row>
    <row r="13" spans="1:23" s="7" customFormat="1" ht="15">
      <c r="A13" s="1"/>
      <c r="B13" s="1">
        <v>12</v>
      </c>
      <c r="C13" s="1" t="s">
        <v>22</v>
      </c>
      <c r="D13" s="2">
        <v>42950.415208333332</v>
      </c>
      <c r="E13" s="1">
        <f t="shared" si="0"/>
        <v>2017</v>
      </c>
      <c r="F13" s="1">
        <f t="shared" si="1"/>
        <v>8</v>
      </c>
      <c r="G13" s="3">
        <f t="shared" si="2"/>
        <v>3</v>
      </c>
      <c r="H13" s="4">
        <v>0.65</v>
      </c>
      <c r="I13" s="6">
        <v>-120.92116</v>
      </c>
      <c r="J13" s="8">
        <v>31.179760000000002</v>
      </c>
      <c r="K13" s="5">
        <v>8</v>
      </c>
      <c r="L13" s="5">
        <v>53</v>
      </c>
      <c r="M13" s="5" t="s">
        <v>35</v>
      </c>
      <c r="N13" s="9">
        <v>13.365</v>
      </c>
      <c r="O13" s="8">
        <v>33.081600000000002</v>
      </c>
      <c r="P13" s="6">
        <v>-0.35806872580645144</v>
      </c>
      <c r="Q13" s="6">
        <v>-2.1293159225806448</v>
      </c>
      <c r="S13" s="1" t="s">
        <v>23</v>
      </c>
      <c r="T13" s="1"/>
      <c r="U13" s="1" t="s">
        <v>22</v>
      </c>
      <c r="W13" s="17" t="s">
        <v>59</v>
      </c>
    </row>
    <row r="14" spans="1:23" s="7" customFormat="1" ht="15">
      <c r="A14" s="1"/>
      <c r="B14" s="1">
        <v>14</v>
      </c>
      <c r="C14" s="1" t="s">
        <v>22</v>
      </c>
      <c r="D14" s="2">
        <v>42950.873680555553</v>
      </c>
      <c r="E14" s="1">
        <f t="shared" si="0"/>
        <v>2017</v>
      </c>
      <c r="F14" s="1">
        <f t="shared" si="1"/>
        <v>8</v>
      </c>
      <c r="G14" s="3">
        <f t="shared" si="2"/>
        <v>3</v>
      </c>
      <c r="H14" s="4">
        <v>0.65</v>
      </c>
      <c r="I14" s="6">
        <v>-122.2563</v>
      </c>
      <c r="J14" s="8">
        <v>30.514520000000001</v>
      </c>
      <c r="K14" s="5">
        <v>10</v>
      </c>
      <c r="L14" s="5">
        <v>10</v>
      </c>
      <c r="M14" s="5" t="s">
        <v>36</v>
      </c>
      <c r="N14" s="9">
        <v>18.893000000000001</v>
      </c>
      <c r="O14" s="8">
        <v>33.246600000000001</v>
      </c>
      <c r="P14" s="6">
        <v>-0.35254682352941202</v>
      </c>
      <c r="Q14" s="6">
        <v>-1.9155534411764705</v>
      </c>
      <c r="S14" s="1" t="s">
        <v>23</v>
      </c>
      <c r="T14" s="1"/>
      <c r="U14" s="1" t="s">
        <v>22</v>
      </c>
      <c r="W14" s="17" t="s">
        <v>59</v>
      </c>
    </row>
    <row r="15" spans="1:23" s="7" customFormat="1" ht="15">
      <c r="A15" s="1"/>
      <c r="B15" s="1">
        <v>14</v>
      </c>
      <c r="C15" s="1" t="s">
        <v>22</v>
      </c>
      <c r="D15" s="2">
        <v>42950.87462962963</v>
      </c>
      <c r="E15" s="1">
        <f t="shared" si="0"/>
        <v>2017</v>
      </c>
      <c r="F15" s="1">
        <f t="shared" si="1"/>
        <v>8</v>
      </c>
      <c r="G15" s="3">
        <f t="shared" si="2"/>
        <v>3</v>
      </c>
      <c r="H15" s="4">
        <v>0.65</v>
      </c>
      <c r="I15" s="6">
        <v>-122.2563</v>
      </c>
      <c r="J15" s="8">
        <v>30.514520000000001</v>
      </c>
      <c r="K15" s="5">
        <v>50</v>
      </c>
      <c r="L15" s="5">
        <v>51</v>
      </c>
      <c r="M15" s="5" t="s">
        <v>37</v>
      </c>
      <c r="N15" s="9">
        <v>16.359000000000002</v>
      </c>
      <c r="O15" s="8">
        <v>33.166899999999998</v>
      </c>
      <c r="P15" s="6">
        <v>-0.39163978903225782</v>
      </c>
      <c r="Q15" s="6">
        <v>-2.3647172129032246</v>
      </c>
      <c r="S15" s="1" t="s">
        <v>23</v>
      </c>
      <c r="T15" s="1"/>
      <c r="U15" s="1" t="s">
        <v>22</v>
      </c>
      <c r="W15" s="17" t="s">
        <v>59</v>
      </c>
    </row>
    <row r="16" spans="1:23" s="7" customFormat="1" ht="15">
      <c r="A16" s="1"/>
      <c r="B16" s="1">
        <v>32</v>
      </c>
      <c r="C16" s="1" t="s">
        <v>22</v>
      </c>
      <c r="D16" s="2">
        <v>42954.394097222219</v>
      </c>
      <c r="E16" s="1">
        <f t="shared" si="0"/>
        <v>2017</v>
      </c>
      <c r="F16" s="1">
        <f t="shared" si="1"/>
        <v>8</v>
      </c>
      <c r="G16" s="3">
        <f t="shared" si="2"/>
        <v>7</v>
      </c>
      <c r="H16" s="4">
        <v>0.65</v>
      </c>
      <c r="I16" s="6">
        <v>-118.48876</v>
      </c>
      <c r="J16" s="8">
        <v>33.890900000000002</v>
      </c>
      <c r="K16" s="5">
        <v>10</v>
      </c>
      <c r="L16" s="5">
        <v>10</v>
      </c>
      <c r="M16" s="5" t="s">
        <v>38</v>
      </c>
      <c r="N16" s="9">
        <v>19.815999999999999</v>
      </c>
      <c r="O16" s="8">
        <v>33.452800000000003</v>
      </c>
      <c r="P16" s="6">
        <v>-0.33927235870967731</v>
      </c>
      <c r="Q16" s="6">
        <v>-1.9447753838709669</v>
      </c>
      <c r="S16" s="1" t="s">
        <v>23</v>
      </c>
      <c r="T16" s="1"/>
      <c r="U16" s="1" t="s">
        <v>22</v>
      </c>
      <c r="W16" s="17" t="s">
        <v>59</v>
      </c>
    </row>
    <row r="17" spans="1:23" s="7" customFormat="1" ht="15">
      <c r="A17" s="1"/>
      <c r="B17" s="1">
        <v>32</v>
      </c>
      <c r="C17" s="1" t="s">
        <v>22</v>
      </c>
      <c r="D17" s="2">
        <v>42954.395069444443</v>
      </c>
      <c r="E17" s="1">
        <f t="shared" si="0"/>
        <v>2017</v>
      </c>
      <c r="F17" s="1">
        <f t="shared" si="1"/>
        <v>8</v>
      </c>
      <c r="G17" s="3">
        <f t="shared" si="2"/>
        <v>7</v>
      </c>
      <c r="H17" s="4">
        <v>0.65</v>
      </c>
      <c r="I17" s="6">
        <v>-118.48878000000001</v>
      </c>
      <c r="J17" s="8">
        <v>33.890900000000002</v>
      </c>
      <c r="K17" s="5">
        <v>50</v>
      </c>
      <c r="L17" s="5">
        <v>50</v>
      </c>
      <c r="M17" s="5" t="s">
        <v>39</v>
      </c>
      <c r="N17" s="9">
        <v>12.491</v>
      </c>
      <c r="O17" s="8">
        <v>33.369500000000002</v>
      </c>
      <c r="P17" s="6">
        <v>-0.33500675032258043</v>
      </c>
      <c r="Q17" s="6">
        <v>-1.9179153290322573</v>
      </c>
      <c r="S17" s="1" t="s">
        <v>23</v>
      </c>
      <c r="T17" s="1"/>
      <c r="U17" s="1" t="s">
        <v>22</v>
      </c>
      <c r="W17" s="17" t="s">
        <v>59</v>
      </c>
    </row>
    <row r="18" spans="1:23" s="7" customFormat="1" ht="15">
      <c r="A18" s="1"/>
      <c r="B18" s="1">
        <v>33</v>
      </c>
      <c r="C18" s="1" t="s">
        <v>22</v>
      </c>
      <c r="D18" s="2">
        <v>42954.482638888891</v>
      </c>
      <c r="E18" s="1">
        <f t="shared" si="0"/>
        <v>2017</v>
      </c>
      <c r="F18" s="1">
        <f t="shared" si="1"/>
        <v>8</v>
      </c>
      <c r="G18" s="3">
        <f t="shared" si="2"/>
        <v>7</v>
      </c>
      <c r="H18" s="4">
        <v>0.65</v>
      </c>
      <c r="I18" s="6">
        <v>-118.6284</v>
      </c>
      <c r="J18" s="8">
        <v>33.8232</v>
      </c>
      <c r="K18" s="5">
        <v>10</v>
      </c>
      <c r="L18" s="5">
        <v>10</v>
      </c>
      <c r="M18" s="5" t="s">
        <v>40</v>
      </c>
      <c r="N18" s="9">
        <v>21.873000000000001</v>
      </c>
      <c r="O18" s="8">
        <v>33.512599999999999</v>
      </c>
      <c r="P18" s="6">
        <v>-0.22105084235294137</v>
      </c>
      <c r="Q18" s="6">
        <v>-1.1876772941176466</v>
      </c>
      <c r="S18" s="1" t="s">
        <v>23</v>
      </c>
      <c r="T18" s="1"/>
      <c r="U18" s="1" t="s">
        <v>22</v>
      </c>
      <c r="W18" s="17" t="s">
        <v>59</v>
      </c>
    </row>
    <row r="19" spans="1:23" s="7" customFormat="1" ht="15">
      <c r="A19" s="1"/>
      <c r="B19" s="1">
        <v>33</v>
      </c>
      <c r="C19" s="1" t="s">
        <v>22</v>
      </c>
      <c r="D19" s="2">
        <v>42954.483564814815</v>
      </c>
      <c r="E19" s="1">
        <f t="shared" si="0"/>
        <v>2017</v>
      </c>
      <c r="F19" s="1">
        <f t="shared" si="1"/>
        <v>8</v>
      </c>
      <c r="G19" s="3">
        <f t="shared" si="2"/>
        <v>7</v>
      </c>
      <c r="H19" s="4">
        <v>0.65</v>
      </c>
      <c r="I19" s="6">
        <v>-118.6284</v>
      </c>
      <c r="J19" s="8">
        <v>33.8232</v>
      </c>
      <c r="K19" s="5">
        <v>50</v>
      </c>
      <c r="L19" s="5">
        <v>50</v>
      </c>
      <c r="M19" s="5" t="s">
        <v>41</v>
      </c>
      <c r="N19" s="9">
        <v>12.377000000000001</v>
      </c>
      <c r="O19" s="8">
        <v>33.383600000000001</v>
      </c>
      <c r="P19" s="6">
        <v>-0.29927651129032262</v>
      </c>
      <c r="Q19" s="6">
        <v>-1.5025024161290323</v>
      </c>
      <c r="S19" s="1" t="s">
        <v>23</v>
      </c>
      <c r="T19" s="1"/>
      <c r="U19" s="1" t="s">
        <v>22</v>
      </c>
      <c r="W19" s="17" t="s">
        <v>59</v>
      </c>
    </row>
    <row r="20" spans="1:23" s="7" customFormat="1" ht="15">
      <c r="A20" s="1"/>
      <c r="B20" s="1">
        <v>35</v>
      </c>
      <c r="C20" s="1" t="s">
        <v>22</v>
      </c>
      <c r="D20" s="2">
        <v>42954.836724537039</v>
      </c>
      <c r="E20" s="1">
        <f t="shared" si="0"/>
        <v>2017</v>
      </c>
      <c r="F20" s="1">
        <f t="shared" si="1"/>
        <v>8</v>
      </c>
      <c r="G20" s="3">
        <f t="shared" si="2"/>
        <v>7</v>
      </c>
      <c r="H20" s="4">
        <v>0.65</v>
      </c>
      <c r="I20" s="6">
        <v>-119.31626</v>
      </c>
      <c r="J20" s="8">
        <v>33.491059999999997</v>
      </c>
      <c r="K20" s="5">
        <v>10</v>
      </c>
      <c r="L20" s="5">
        <v>10</v>
      </c>
      <c r="M20" s="5" t="s">
        <v>42</v>
      </c>
      <c r="N20" s="9">
        <v>19.079000000000001</v>
      </c>
      <c r="O20" s="8">
        <v>33.393300000000004</v>
      </c>
      <c r="P20" s="6">
        <v>-0.3328970305882355</v>
      </c>
      <c r="Q20" s="6">
        <v>-1.8243018235294128</v>
      </c>
      <c r="S20" s="1" t="s">
        <v>23</v>
      </c>
      <c r="T20" s="1"/>
      <c r="U20" s="1" t="s">
        <v>22</v>
      </c>
      <c r="W20" s="17" t="s">
        <v>59</v>
      </c>
    </row>
    <row r="21" spans="1:23" s="7" customFormat="1" ht="15">
      <c r="A21" s="1"/>
      <c r="B21" s="1">
        <v>35</v>
      </c>
      <c r="C21" s="1" t="s">
        <v>22</v>
      </c>
      <c r="D21" s="2">
        <v>42954.837650462963</v>
      </c>
      <c r="E21" s="1">
        <f t="shared" si="0"/>
        <v>2017</v>
      </c>
      <c r="F21" s="1">
        <f t="shared" si="1"/>
        <v>8</v>
      </c>
      <c r="G21" s="3">
        <f t="shared" si="2"/>
        <v>7</v>
      </c>
      <c r="H21" s="4">
        <v>0.65</v>
      </c>
      <c r="I21" s="6">
        <v>-119.31626</v>
      </c>
      <c r="J21" s="8">
        <v>33.491079999999997</v>
      </c>
      <c r="K21" s="5">
        <v>50</v>
      </c>
      <c r="L21" s="5">
        <v>50</v>
      </c>
      <c r="M21" s="5" t="s">
        <v>43</v>
      </c>
      <c r="N21" s="9">
        <v>12.784000000000001</v>
      </c>
      <c r="O21" s="8">
        <v>33.329099999999997</v>
      </c>
      <c r="P21" s="6">
        <v>-0.30700214117647073</v>
      </c>
      <c r="Q21" s="6">
        <v>-1.7845901470588235</v>
      </c>
      <c r="S21" s="1" t="s">
        <v>23</v>
      </c>
      <c r="T21" s="1"/>
      <c r="U21" s="1" t="s">
        <v>22</v>
      </c>
      <c r="W21" s="17" t="s">
        <v>59</v>
      </c>
    </row>
    <row r="22" spans="1:23" s="7" customFormat="1" ht="15">
      <c r="A22" s="1"/>
      <c r="B22" s="1">
        <v>37</v>
      </c>
      <c r="C22" s="1" t="s">
        <v>22</v>
      </c>
      <c r="D22" s="2">
        <v>42955.173009259262</v>
      </c>
      <c r="E22" s="1">
        <f t="shared" si="0"/>
        <v>2017</v>
      </c>
      <c r="F22" s="1">
        <f t="shared" si="1"/>
        <v>8</v>
      </c>
      <c r="G22" s="3">
        <f t="shared" si="2"/>
        <v>8</v>
      </c>
      <c r="H22" s="4">
        <v>0.65</v>
      </c>
      <c r="I22" s="6">
        <v>-120.00556</v>
      </c>
      <c r="J22" s="8">
        <v>33.156619999999997</v>
      </c>
      <c r="K22" s="5">
        <v>10</v>
      </c>
      <c r="L22" s="5">
        <v>10</v>
      </c>
      <c r="M22" s="5" t="s">
        <v>44</v>
      </c>
      <c r="N22" s="9">
        <v>17.635000000000002</v>
      </c>
      <c r="O22" s="8">
        <v>33.489699999999999</v>
      </c>
      <c r="P22" s="6">
        <v>-0.28691916235294146</v>
      </c>
      <c r="Q22" s="6">
        <v>-1.7258107941176473</v>
      </c>
      <c r="S22" s="1" t="s">
        <v>23</v>
      </c>
      <c r="T22" s="1"/>
      <c r="U22" s="1" t="s">
        <v>22</v>
      </c>
      <c r="W22" s="17" t="s">
        <v>59</v>
      </c>
    </row>
    <row r="23" spans="1:23" s="7" customFormat="1" ht="15">
      <c r="A23" s="1"/>
      <c r="B23" s="1">
        <v>37</v>
      </c>
      <c r="C23" s="1" t="s">
        <v>22</v>
      </c>
      <c r="D23" s="2">
        <v>42955.173935185187</v>
      </c>
      <c r="E23" s="1">
        <f t="shared" si="0"/>
        <v>2017</v>
      </c>
      <c r="F23" s="1">
        <f t="shared" si="1"/>
        <v>8</v>
      </c>
      <c r="G23" s="3">
        <f t="shared" si="2"/>
        <v>8</v>
      </c>
      <c r="H23" s="4">
        <v>0.65</v>
      </c>
      <c r="I23" s="6">
        <v>-120.00554</v>
      </c>
      <c r="J23" s="8">
        <v>33.156619999999997</v>
      </c>
      <c r="K23" s="5">
        <v>50</v>
      </c>
      <c r="L23" s="5">
        <v>50</v>
      </c>
      <c r="M23" s="5" t="s">
        <v>45</v>
      </c>
      <c r="N23" s="9">
        <v>13.297000000000001</v>
      </c>
      <c r="O23" s="8">
        <v>33.350299999999997</v>
      </c>
      <c r="P23" s="6">
        <v>-0.298409544516129</v>
      </c>
      <c r="Q23" s="6">
        <v>-1.6758358064516123</v>
      </c>
      <c r="S23" s="1" t="s">
        <v>23</v>
      </c>
      <c r="T23" s="1"/>
      <c r="U23" s="1" t="s">
        <v>22</v>
      </c>
      <c r="W23" s="17" t="s">
        <v>59</v>
      </c>
    </row>
    <row r="24" spans="1:23" s="7" customFormat="1" ht="15">
      <c r="A24" s="1"/>
      <c r="B24" s="1">
        <v>39</v>
      </c>
      <c r="C24" s="1" t="s">
        <v>22</v>
      </c>
      <c r="D24" s="2">
        <v>42955.600462962961</v>
      </c>
      <c r="E24" s="1">
        <f t="shared" si="0"/>
        <v>2017</v>
      </c>
      <c r="F24" s="1">
        <f t="shared" si="1"/>
        <v>8</v>
      </c>
      <c r="G24" s="3">
        <f t="shared" si="2"/>
        <v>8</v>
      </c>
      <c r="H24" s="4">
        <v>0.65</v>
      </c>
      <c r="I24" s="6">
        <v>-121.03712</v>
      </c>
      <c r="J24" s="8">
        <v>32.655180000000001</v>
      </c>
      <c r="K24" s="5">
        <v>10</v>
      </c>
      <c r="L24" s="5">
        <v>11</v>
      </c>
      <c r="M24" s="5" t="s">
        <v>46</v>
      </c>
      <c r="N24" s="9">
        <v>17.917999999999999</v>
      </c>
      <c r="O24" s="8">
        <v>33.454000000000001</v>
      </c>
      <c r="P24" s="6">
        <v>-0.3101449122580644</v>
      </c>
      <c r="Q24" s="6">
        <v>-1.8162386032258055</v>
      </c>
      <c r="S24" s="1" t="s">
        <v>23</v>
      </c>
      <c r="T24" s="1"/>
      <c r="U24" s="1" t="s">
        <v>22</v>
      </c>
      <c r="W24" s="17" t="s">
        <v>59</v>
      </c>
    </row>
    <row r="25" spans="1:23" s="7" customFormat="1" ht="15">
      <c r="A25" s="1"/>
      <c r="B25" s="1">
        <v>39</v>
      </c>
      <c r="C25" s="1" t="s">
        <v>22</v>
      </c>
      <c r="D25" s="2">
        <v>42955.601400462961</v>
      </c>
      <c r="E25" s="1">
        <f t="shared" si="0"/>
        <v>2017</v>
      </c>
      <c r="F25" s="1">
        <f t="shared" si="1"/>
        <v>8</v>
      </c>
      <c r="G25" s="3">
        <f t="shared" si="2"/>
        <v>8</v>
      </c>
      <c r="H25" s="4">
        <v>0.65</v>
      </c>
      <c r="I25" s="6">
        <v>-121.03726</v>
      </c>
      <c r="J25" s="8">
        <v>32.655419999999999</v>
      </c>
      <c r="K25" s="5">
        <v>50</v>
      </c>
      <c r="L25" s="5">
        <v>51</v>
      </c>
      <c r="M25" s="5" t="s">
        <v>47</v>
      </c>
      <c r="N25" s="9">
        <v>12.98</v>
      </c>
      <c r="O25" s="8">
        <v>33.2102</v>
      </c>
      <c r="P25" s="6">
        <v>-0.34697946258064505</v>
      </c>
      <c r="Q25" s="6">
        <v>-1.8239147322580642</v>
      </c>
      <c r="S25" s="1" t="s">
        <v>23</v>
      </c>
      <c r="T25" s="1"/>
      <c r="U25" s="1" t="s">
        <v>22</v>
      </c>
      <c r="W25" s="17" t="s">
        <v>59</v>
      </c>
    </row>
    <row r="26" spans="1:23" s="7" customFormat="1" ht="15">
      <c r="A26" s="1"/>
      <c r="B26" s="1">
        <v>41</v>
      </c>
      <c r="C26" s="1" t="s">
        <v>22</v>
      </c>
      <c r="D26" s="2">
        <v>42956.079699074071</v>
      </c>
      <c r="E26" s="1">
        <f t="shared" si="0"/>
        <v>2017</v>
      </c>
      <c r="F26" s="1">
        <f t="shared" si="1"/>
        <v>8</v>
      </c>
      <c r="G26" s="3">
        <f t="shared" si="2"/>
        <v>9</v>
      </c>
      <c r="H26" s="4">
        <v>0.65</v>
      </c>
      <c r="I26" s="6">
        <v>-122.39431999999999</v>
      </c>
      <c r="J26" s="8">
        <v>31.989239999999999</v>
      </c>
      <c r="K26" s="5">
        <v>10</v>
      </c>
      <c r="L26" s="5">
        <v>11</v>
      </c>
      <c r="M26" s="5" t="s">
        <v>48</v>
      </c>
      <c r="N26" s="9">
        <v>18.391999999999999</v>
      </c>
      <c r="O26" s="8">
        <v>33.213999999999999</v>
      </c>
      <c r="P26" s="6">
        <v>-0.37130727548387088</v>
      </c>
      <c r="Q26" s="6">
        <v>-2.2231693935483863</v>
      </c>
      <c r="S26" s="1" t="s">
        <v>23</v>
      </c>
      <c r="T26" s="1"/>
      <c r="U26" s="1" t="s">
        <v>22</v>
      </c>
      <c r="W26" s="17" t="s">
        <v>59</v>
      </c>
    </row>
    <row r="27" spans="1:23" s="7" customFormat="1" ht="15">
      <c r="A27" s="1"/>
      <c r="B27" s="1">
        <v>41</v>
      </c>
      <c r="C27" s="1" t="s">
        <v>22</v>
      </c>
      <c r="D27" s="2">
        <v>42956.080625000002</v>
      </c>
      <c r="E27" s="1">
        <f t="shared" si="0"/>
        <v>2017</v>
      </c>
      <c r="F27" s="1">
        <f t="shared" si="1"/>
        <v>8</v>
      </c>
      <c r="G27" s="3">
        <f t="shared" si="2"/>
        <v>9</v>
      </c>
      <c r="H27" s="4">
        <v>0.65</v>
      </c>
      <c r="I27" s="6">
        <v>-122.39431999999999</v>
      </c>
      <c r="J27" s="8">
        <v>31.989239999999999</v>
      </c>
      <c r="K27" s="5">
        <v>50</v>
      </c>
      <c r="L27" s="5">
        <v>51</v>
      </c>
      <c r="M27" s="5" t="s">
        <v>49</v>
      </c>
      <c r="N27" s="9">
        <v>16.332999999999998</v>
      </c>
      <c r="O27" s="8">
        <v>33.280500000000004</v>
      </c>
      <c r="P27" s="6">
        <v>-0.24858038193548393</v>
      </c>
      <c r="Q27" s="6">
        <v>-2.0247094741935481</v>
      </c>
      <c r="S27" s="1" t="s">
        <v>23</v>
      </c>
      <c r="T27" s="1"/>
      <c r="U27" s="1" t="s">
        <v>22</v>
      </c>
      <c r="W27" s="17" t="s">
        <v>59</v>
      </c>
    </row>
    <row r="28" spans="1:23" s="7" customFormat="1" ht="15">
      <c r="A28" s="1"/>
      <c r="B28" s="1">
        <v>43</v>
      </c>
      <c r="C28" s="1" t="s">
        <v>22</v>
      </c>
      <c r="D28" s="2">
        <v>42956.554432870369</v>
      </c>
      <c r="E28" s="1">
        <f t="shared" si="0"/>
        <v>2017</v>
      </c>
      <c r="F28" s="1">
        <f t="shared" si="1"/>
        <v>8</v>
      </c>
      <c r="G28" s="3">
        <f t="shared" si="2"/>
        <v>9</v>
      </c>
      <c r="H28" s="4">
        <v>0.65</v>
      </c>
      <c r="I28" s="6">
        <v>-123.74306</v>
      </c>
      <c r="J28" s="8">
        <v>31.323540000000001</v>
      </c>
      <c r="K28" s="5">
        <v>10</v>
      </c>
      <c r="L28" s="5">
        <v>10</v>
      </c>
      <c r="M28" s="5" t="s">
        <v>50</v>
      </c>
      <c r="N28" s="9">
        <v>18.786000000000001</v>
      </c>
      <c r="O28" s="8">
        <v>33.260100000000001</v>
      </c>
      <c r="P28" s="6">
        <v>-0.36513328000000045</v>
      </c>
      <c r="Q28" s="6">
        <v>-2.1492579999999997</v>
      </c>
      <c r="S28" s="1" t="s">
        <v>23</v>
      </c>
      <c r="T28" s="1"/>
      <c r="U28" s="1" t="s">
        <v>22</v>
      </c>
      <c r="W28" s="17" t="s">
        <v>59</v>
      </c>
    </row>
    <row r="29" spans="1:23" s="7" customFormat="1" ht="15">
      <c r="A29" s="1"/>
      <c r="B29" s="1">
        <v>43</v>
      </c>
      <c r="C29" s="1" t="s">
        <v>22</v>
      </c>
      <c r="D29" s="2">
        <v>42956.55537037037</v>
      </c>
      <c r="E29" s="1">
        <f t="shared" si="0"/>
        <v>2017</v>
      </c>
      <c r="F29" s="1">
        <f t="shared" si="1"/>
        <v>8</v>
      </c>
      <c r="G29" s="3">
        <f t="shared" si="2"/>
        <v>9</v>
      </c>
      <c r="H29" s="4">
        <v>0.65</v>
      </c>
      <c r="I29" s="6">
        <v>-123.74321</v>
      </c>
      <c r="J29" s="8">
        <v>31.32348</v>
      </c>
      <c r="K29" s="5">
        <v>50</v>
      </c>
      <c r="L29" s="5">
        <v>50</v>
      </c>
      <c r="M29" s="5" t="s">
        <v>51</v>
      </c>
      <c r="N29" s="9">
        <v>13.611000000000001</v>
      </c>
      <c r="O29" s="8">
        <v>33.255699999999997</v>
      </c>
      <c r="P29" s="6">
        <v>-0.36805697419354821</v>
      </c>
      <c r="Q29" s="6">
        <v>-1.9701705774193545</v>
      </c>
      <c r="S29" s="1" t="s">
        <v>23</v>
      </c>
      <c r="T29" s="1"/>
      <c r="U29" s="1" t="s">
        <v>22</v>
      </c>
      <c r="W29" s="17" t="s">
        <v>59</v>
      </c>
    </row>
    <row r="30" spans="1:23" s="7" customFormat="1" ht="15">
      <c r="A30" s="1"/>
      <c r="B30" s="1">
        <v>52</v>
      </c>
      <c r="C30" s="1" t="s">
        <v>22</v>
      </c>
      <c r="D30" s="2">
        <v>42958.64775462963</v>
      </c>
      <c r="E30" s="1">
        <f t="shared" si="0"/>
        <v>2017</v>
      </c>
      <c r="F30" s="1">
        <f t="shared" si="1"/>
        <v>8</v>
      </c>
      <c r="G30" s="3">
        <f t="shared" si="2"/>
        <v>11</v>
      </c>
      <c r="H30" s="4">
        <v>0.65</v>
      </c>
      <c r="I30" s="6">
        <v>-121.1508</v>
      </c>
      <c r="J30" s="8">
        <v>34.149790000000003</v>
      </c>
      <c r="K30" s="5">
        <v>10</v>
      </c>
      <c r="L30" s="5">
        <v>10</v>
      </c>
      <c r="M30" s="5" t="s">
        <v>52</v>
      </c>
      <c r="N30" s="9">
        <v>16.555</v>
      </c>
      <c r="O30" s="8">
        <v>33.502000000000002</v>
      </c>
      <c r="P30" s="6">
        <v>-0.29172030588235276</v>
      </c>
      <c r="Q30" s="6">
        <v>-1.6380037352941175</v>
      </c>
      <c r="S30" s="1" t="s">
        <v>23</v>
      </c>
      <c r="T30" s="1"/>
      <c r="U30" s="1" t="s">
        <v>22</v>
      </c>
      <c r="W30" s="17" t="s">
        <v>59</v>
      </c>
    </row>
    <row r="31" spans="1:23" s="7" customFormat="1" ht="15">
      <c r="A31" s="1"/>
      <c r="B31" s="1">
        <v>52</v>
      </c>
      <c r="C31" s="1" t="s">
        <v>22</v>
      </c>
      <c r="D31" s="2">
        <v>42958.648692129631</v>
      </c>
      <c r="E31" s="1">
        <f t="shared" si="0"/>
        <v>2017</v>
      </c>
      <c r="F31" s="1">
        <f t="shared" si="1"/>
        <v>8</v>
      </c>
      <c r="G31" s="3">
        <f t="shared" si="2"/>
        <v>11</v>
      </c>
      <c r="H31" s="4">
        <v>0.65</v>
      </c>
      <c r="I31" s="6">
        <v>-121.15084</v>
      </c>
      <c r="J31" s="8">
        <v>34.149799999999999</v>
      </c>
      <c r="K31" s="5">
        <v>50</v>
      </c>
      <c r="L31" s="5">
        <v>50</v>
      </c>
      <c r="M31" s="5" t="s">
        <v>53</v>
      </c>
      <c r="N31" s="9">
        <v>11.092000000000001</v>
      </c>
      <c r="O31" s="8">
        <v>33.555799999999998</v>
      </c>
      <c r="P31" s="6">
        <v>-0.31764763612903213</v>
      </c>
      <c r="Q31" s="6">
        <v>-1.6140749516129027</v>
      </c>
      <c r="S31" s="1" t="s">
        <v>23</v>
      </c>
      <c r="T31" s="1"/>
      <c r="U31" s="1" t="s">
        <v>22</v>
      </c>
      <c r="W31" s="17" t="s">
        <v>59</v>
      </c>
    </row>
    <row r="32" spans="1:23" s="7" customFormat="1" ht="15">
      <c r="A32" s="1"/>
      <c r="B32" s="1">
        <v>54</v>
      </c>
      <c r="C32" s="1" t="s">
        <v>22</v>
      </c>
      <c r="D32" s="2">
        <v>42959.176898148151</v>
      </c>
      <c r="E32" s="1">
        <f t="shared" si="0"/>
        <v>2017</v>
      </c>
      <c r="F32" s="1">
        <f t="shared" si="1"/>
        <v>8</v>
      </c>
      <c r="G32" s="3">
        <f t="shared" si="2"/>
        <v>12</v>
      </c>
      <c r="H32" s="4">
        <v>0.65</v>
      </c>
      <c r="I32" s="6">
        <v>-122.53266000000001</v>
      </c>
      <c r="J32" s="8">
        <v>33.482559999999999</v>
      </c>
      <c r="K32" s="5">
        <v>10</v>
      </c>
      <c r="L32" s="5">
        <v>11</v>
      </c>
      <c r="M32" s="5" t="s">
        <v>54</v>
      </c>
      <c r="N32" s="9">
        <v>16.829999999999998</v>
      </c>
      <c r="O32" s="8">
        <v>33.232300000000002</v>
      </c>
      <c r="P32" s="6">
        <v>-0.39120465741935506</v>
      </c>
      <c r="Q32" s="6">
        <v>-2.2355151677419354</v>
      </c>
      <c r="S32" s="1" t="s">
        <v>23</v>
      </c>
      <c r="T32" s="1"/>
      <c r="U32" s="1" t="s">
        <v>22</v>
      </c>
      <c r="W32" s="17" t="s">
        <v>59</v>
      </c>
    </row>
    <row r="33" spans="1:23" s="7" customFormat="1" ht="15">
      <c r="A33" s="1"/>
      <c r="B33" s="1">
        <v>54</v>
      </c>
      <c r="C33" s="1" t="s">
        <v>22</v>
      </c>
      <c r="D33" s="2">
        <v>42959.177800925929</v>
      </c>
      <c r="E33" s="1">
        <f t="shared" si="0"/>
        <v>2017</v>
      </c>
      <c r="F33" s="1">
        <f t="shared" si="1"/>
        <v>8</v>
      </c>
      <c r="G33" s="3">
        <f t="shared" si="2"/>
        <v>12</v>
      </c>
      <c r="H33" s="4">
        <v>0.65</v>
      </c>
      <c r="I33" s="6">
        <v>-122.53268</v>
      </c>
      <c r="J33" s="8">
        <v>33.482550000000003</v>
      </c>
      <c r="K33" s="5">
        <v>50</v>
      </c>
      <c r="L33" s="5">
        <v>50</v>
      </c>
      <c r="M33" s="5" t="s">
        <v>55</v>
      </c>
      <c r="N33" s="9">
        <v>14.606999999999999</v>
      </c>
      <c r="O33" s="8">
        <v>33.444800000000001</v>
      </c>
      <c r="P33" s="6">
        <v>-0.29682724774193536</v>
      </c>
      <c r="Q33" s="6">
        <v>-1.6467048967741924</v>
      </c>
      <c r="S33" s="1" t="s">
        <v>23</v>
      </c>
      <c r="T33" s="1"/>
      <c r="U33" s="1" t="s">
        <v>22</v>
      </c>
      <c r="W33" s="17" t="s">
        <v>59</v>
      </c>
    </row>
    <row r="34" spans="1:23" s="7" customFormat="1" ht="15">
      <c r="A34" s="1"/>
      <c r="B34" s="1">
        <v>56</v>
      </c>
      <c r="C34" s="1" t="s">
        <v>22</v>
      </c>
      <c r="D34" s="2">
        <v>42959.681481481479</v>
      </c>
      <c r="E34" s="1">
        <f t="shared" si="0"/>
        <v>2017</v>
      </c>
      <c r="F34" s="1">
        <f t="shared" si="1"/>
        <v>8</v>
      </c>
      <c r="G34" s="3">
        <f t="shared" si="2"/>
        <v>12</v>
      </c>
      <c r="H34" s="4">
        <v>0.65</v>
      </c>
      <c r="I34" s="6">
        <v>-123.90900000000001</v>
      </c>
      <c r="J34" s="8">
        <v>32.816420000000001</v>
      </c>
      <c r="K34" s="5">
        <v>10</v>
      </c>
      <c r="L34" s="5">
        <v>10</v>
      </c>
      <c r="M34" s="5" t="s">
        <v>56</v>
      </c>
      <c r="N34" s="9">
        <v>18.582000000000001</v>
      </c>
      <c r="O34" s="8">
        <v>33.242199999999997</v>
      </c>
      <c r="P34" s="6">
        <v>-0.42792116705882344</v>
      </c>
      <c r="Q34" s="6">
        <v>-2.1000883823529399</v>
      </c>
      <c r="S34" s="1" t="s">
        <v>23</v>
      </c>
      <c r="T34" s="1"/>
      <c r="U34" s="1" t="s">
        <v>22</v>
      </c>
      <c r="W34" s="17" t="s">
        <v>59</v>
      </c>
    </row>
    <row r="35" spans="1:23" s="7" customFormat="1" ht="15">
      <c r="A35" s="1"/>
      <c r="B35" s="1">
        <v>56</v>
      </c>
      <c r="C35" s="1" t="s">
        <v>22</v>
      </c>
      <c r="D35" s="2">
        <v>42959.68240740741</v>
      </c>
      <c r="E35" s="1">
        <f t="shared" si="0"/>
        <v>2017</v>
      </c>
      <c r="F35" s="1">
        <f t="shared" si="1"/>
        <v>8</v>
      </c>
      <c r="G35" s="3">
        <f t="shared" si="2"/>
        <v>12</v>
      </c>
      <c r="H35" s="4">
        <v>0.65</v>
      </c>
      <c r="I35" s="6">
        <v>-123.90898</v>
      </c>
      <c r="J35" s="8">
        <v>32.816400000000002</v>
      </c>
      <c r="K35" s="5">
        <v>50</v>
      </c>
      <c r="L35" s="5">
        <v>50</v>
      </c>
      <c r="M35" s="5" t="s">
        <v>57</v>
      </c>
      <c r="N35" s="9">
        <v>16.693000000000001</v>
      </c>
      <c r="O35" s="8">
        <v>33.217100000000002</v>
      </c>
      <c r="P35" s="6">
        <v>-0.29771728967741895</v>
      </c>
      <c r="Q35" s="6">
        <v>-2.0015147709677414</v>
      </c>
      <c r="S35" s="1" t="s">
        <v>23</v>
      </c>
      <c r="T35" s="1"/>
      <c r="U35" s="1" t="s">
        <v>22</v>
      </c>
      <c r="W35" s="17" t="s">
        <v>59</v>
      </c>
    </row>
    <row r="36" spans="1:23" s="7" customFormat="1" ht="15">
      <c r="A36" s="1"/>
      <c r="B36" s="1">
        <v>65</v>
      </c>
      <c r="C36" s="1" t="s">
        <v>22</v>
      </c>
      <c r="D36" s="2">
        <v>42961.835115740738</v>
      </c>
      <c r="E36" s="1">
        <f t="shared" si="0"/>
        <v>2017</v>
      </c>
      <c r="F36" s="1">
        <f t="shared" si="1"/>
        <v>8</v>
      </c>
      <c r="G36" s="3">
        <f t="shared" si="2"/>
        <v>14</v>
      </c>
      <c r="H36" s="4">
        <v>0.65</v>
      </c>
      <c r="I36" s="6">
        <v>-120.80452</v>
      </c>
      <c r="J36" s="8">
        <v>34.318080000000002</v>
      </c>
      <c r="K36" s="5">
        <v>50</v>
      </c>
      <c r="L36" s="5">
        <v>50</v>
      </c>
      <c r="M36" s="5" t="s">
        <v>58</v>
      </c>
      <c r="N36" s="9">
        <v>11.468</v>
      </c>
      <c r="O36" s="8">
        <v>33.555100000000003</v>
      </c>
      <c r="P36" s="6">
        <v>-0.19822435294117646</v>
      </c>
      <c r="Q36" s="6">
        <v>-0.97864511764705853</v>
      </c>
      <c r="S36" s="1" t="s">
        <v>23</v>
      </c>
      <c r="T36" s="1"/>
      <c r="U36" s="1" t="s">
        <v>22</v>
      </c>
      <c r="W36" s="17" t="s">
        <v>59</v>
      </c>
    </row>
    <row r="37" spans="1:23">
      <c r="I37" s="6"/>
    </row>
    <row r="38" spans="1:23">
      <c r="I38" s="6"/>
    </row>
    <row r="39" spans="1:23">
      <c r="I39" s="6"/>
    </row>
  </sheetData>
  <phoneticPr fontId="2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20260303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T.Ishimura</dc:creator>
  <cp:lastModifiedBy>T.Ishimura</cp:lastModifiedBy>
  <dcterms:created xsi:type="dcterms:W3CDTF">2024-07-23T11:46:54Z</dcterms:created>
  <dcterms:modified xsi:type="dcterms:W3CDTF">2026-03-05T12:36:14Z</dcterms:modified>
</cp:coreProperties>
</file>