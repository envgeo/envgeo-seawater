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913"/>
  <workbookPr showInkAnnotation="0" checkCompatibility="1" autoCompressPictures="0"/>
  <mc:AlternateContent xmlns:mc="http://schemas.openxmlformats.org/markup-compatibility/2006">
    <mc:Choice Requires="x15">
      <x15ac:absPath xmlns:x15ac="http://schemas.microsoft.com/office/spreadsheetml/2010/11/ac" url="/Users/toyoho/Documents/study/704-Python/Webアプリ_main134_20230513/Streamlit/streamlit_main_ongoing20260316_Atwood_大整理/dataset/"/>
    </mc:Choice>
  </mc:AlternateContent>
  <xr:revisionPtr revIDLastSave="0" documentId="13_ncr:1_{032AA3F8-FA43-0C48-B88C-32D73EBC216D}" xr6:coauthVersionLast="47" xr6:coauthVersionMax="47" xr10:uidLastSave="{00000000-0000-0000-0000-000000000000}"/>
  <bookViews>
    <workbookView xWindow="5080" yWindow="2800" windowWidth="38400" windowHeight="21100" tabRatio="500" xr2:uid="{00000000-000D-0000-FFFF-FFFF00000000}"/>
  </bookViews>
  <sheets>
    <sheet name="KUW_SAG_HIG_SKM_SGW_20260314" sheetId="8" r:id="rId1"/>
  </sheets>
  <definedNames>
    <definedName name="_xlnm._FilterDatabase" localSheetId="0" hidden="1">KUW_SAG_HIG_SKM_SGW_20260314!$A$1:$X$1</definedName>
  </definedNames>
  <calcPr calcId="191029"/>
  <extLst>
    <ext xmlns:x14="http://schemas.microsoft.com/office/spreadsheetml/2009/9/main" uri="{79F54976-1DA5-4618-B147-4CDE4B953A38}">
      <x14:workbookPr defaultImageDpi="32767"/>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6" i="8" l="1"/>
  <c r="F6" i="8"/>
  <c r="E6" i="8"/>
  <c r="G5" i="8"/>
  <c r="F5" i="8"/>
  <c r="E5" i="8"/>
  <c r="G4" i="8"/>
  <c r="F4" i="8"/>
  <c r="E4" i="8"/>
  <c r="G3" i="8"/>
  <c r="F3" i="8"/>
  <c r="E3" i="8"/>
  <c r="G2" i="8"/>
  <c r="F2" i="8"/>
  <c r="E2" i="8"/>
</calcChain>
</file>

<file path=xl/sharedStrings.xml><?xml version="1.0" encoding="utf-8"?>
<sst xmlns="http://schemas.openxmlformats.org/spreadsheetml/2006/main" count="53" uniqueCount="28">
  <si>
    <t>Station</t>
    <phoneticPr fontId="3"/>
  </si>
  <si>
    <t>Salinity</t>
  </si>
  <si>
    <t>dD</t>
    <phoneticPr fontId="3"/>
  </si>
  <si>
    <t>Temperature_degC</t>
    <phoneticPr fontId="3"/>
  </si>
  <si>
    <t>Date</t>
    <phoneticPr fontId="3"/>
  </si>
  <si>
    <t>Depth_m</t>
    <phoneticPr fontId="3"/>
  </si>
  <si>
    <t>Latitude_degN</t>
    <phoneticPr fontId="3"/>
  </si>
  <si>
    <t>Longitude_degE</t>
    <phoneticPr fontId="3"/>
  </si>
  <si>
    <t>d18O</t>
    <phoneticPr fontId="3"/>
  </si>
  <si>
    <t>Cruise</t>
    <phoneticPr fontId="3"/>
  </si>
  <si>
    <t>Year</t>
    <phoneticPr fontId="3"/>
  </si>
  <si>
    <t>Month</t>
    <phoneticPr fontId="3"/>
  </si>
  <si>
    <t>Day</t>
    <phoneticPr fontId="3"/>
  </si>
  <si>
    <t>Remarks</t>
    <phoneticPr fontId="3"/>
  </si>
  <si>
    <t>PI</t>
    <phoneticPr fontId="3"/>
  </si>
  <si>
    <t>Time</t>
    <phoneticPr fontId="3"/>
  </si>
  <si>
    <t>Bottle</t>
    <phoneticPr fontId="3"/>
  </si>
  <si>
    <t>Transect</t>
    <phoneticPr fontId="3"/>
  </si>
  <si>
    <r>
      <rPr>
        <sz val="10"/>
        <rFont val="ＭＳ Ｐゴシック"/>
        <family val="3"/>
        <charset val="128"/>
      </rPr>
      <t>石村メモ</t>
    </r>
    <rPh sb="0" eb="2">
      <t>イシムラ</t>
    </rPh>
    <phoneticPr fontId="3"/>
  </si>
  <si>
    <r>
      <rPr>
        <sz val="10"/>
        <rFont val="ＭＳ Ｐゴシック"/>
        <family val="3"/>
        <charset val="128"/>
      </rPr>
      <t>石村ラベル</t>
    </r>
    <rPh sb="0" eb="2">
      <t>イシムラ</t>
    </rPh>
    <phoneticPr fontId="3"/>
  </si>
  <si>
    <t>Vertical</t>
    <phoneticPr fontId="3"/>
  </si>
  <si>
    <t>TargetDepth_m</t>
    <phoneticPr fontId="3"/>
  </si>
  <si>
    <t>d13C</t>
    <phoneticPr fontId="3"/>
  </si>
  <si>
    <t>reference</t>
    <phoneticPr fontId="3"/>
  </si>
  <si>
    <t>Kitajima</t>
    <phoneticPr fontId="3"/>
  </si>
  <si>
    <t>Kodama et al. (2024)</t>
    <phoneticPr fontId="3"/>
  </si>
  <si>
    <t>14_5</t>
  </si>
  <si>
    <t>sample data</t>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</si>
</sst>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0_);[Red]\(0.000\)"/>
    <numFmt numFmtId="177" formatCode="0_);[Red]\(0\)"/>
    <numFmt numFmtId="178" formatCode="0.00_);[Red]\(0.00\)"/>
    <numFmt numFmtId="179" formatCode="[$-F400]h:mm:ss\ AM/PM"/>
  </numFmts>
  <fonts count="18">
    <font>
      <sz val="12"/>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6"/>
      <name val="ＭＳ Ｐゴシック"/>
      <family val="2"/>
      <charset val="128"/>
      <scheme val="minor"/>
    </font>
    <font>
      <u/>
      <sz val="12"/>
      <color theme="10"/>
      <name val="ＭＳ Ｐゴシック"/>
      <family val="2"/>
      <charset val="128"/>
      <scheme val="minor"/>
    </font>
    <font>
      <u/>
      <sz val="12"/>
      <color theme="11"/>
      <name val="ＭＳ Ｐゴシック"/>
      <family val="2"/>
      <charset val="128"/>
      <scheme val="minor"/>
    </font>
    <font>
      <sz val="11"/>
      <color theme="1"/>
      <name val="Arial"/>
      <family val="2"/>
    </font>
    <font>
      <sz val="12"/>
      <color theme="1"/>
      <name val="ＭＳ Ｐゴシック"/>
      <family val="2"/>
      <charset val="128"/>
      <scheme val="minor"/>
    </font>
    <font>
      <sz val="11"/>
      <color theme="1"/>
      <name val="ＭＳ Ｐゴシック"/>
      <family val="2"/>
      <charset val="128"/>
      <scheme val="minor"/>
    </font>
    <font>
      <sz val="10"/>
      <color theme="1"/>
      <name val="Calibri"/>
      <family val="2"/>
      <charset val="128"/>
    </font>
    <font>
      <sz val="10"/>
      <name val="Calibri"/>
      <family val="2"/>
    </font>
    <font>
      <sz val="10"/>
      <color rgb="FFFF0000"/>
      <name val="Calibri"/>
      <family val="2"/>
    </font>
    <font>
      <sz val="10"/>
      <name val="ＭＳ Ｐゴシック"/>
      <family val="3"/>
      <charset val="128"/>
    </font>
    <font>
      <sz val="11"/>
      <color theme="1"/>
      <name val="ＭＳ Ｐゴシック"/>
      <family val="2"/>
      <scheme val="minor"/>
    </font>
    <font>
      <sz val="12"/>
      <color rgb="FF000000"/>
      <name val="微软雅黑"/>
      <family val="2"/>
      <charset val="134"/>
    </font>
    <font>
      <sz val="11"/>
      <color indexed="8"/>
      <name val="ＭＳ Ｐゴシック"/>
      <family val="3"/>
      <charset val="128"/>
    </font>
    <font>
      <sz val="11"/>
      <name val="ＭＳ Ｐゴシック"/>
      <family val="3"/>
      <charset val="128"/>
    </font>
    <font>
      <sz val="10"/>
      <color theme="1"/>
      <name val="Calibri"/>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37">
    <xf numFmtId="0" fontId="0" fillId="0" borderId="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6" fillId="0" borderId="0">
      <alignment vertical="center"/>
    </xf>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8" fillId="0" borderId="0"/>
    <xf numFmtId="0" fontId="7" fillId="0" borderId="0"/>
    <xf numFmtId="0" fontId="9" fillId="0" borderId="0">
      <alignment vertical="center"/>
    </xf>
    <xf numFmtId="0" fontId="8" fillId="0" borderId="0">
      <alignment vertical="center"/>
    </xf>
    <xf numFmtId="0" fontId="6" fillId="0" borderId="0">
      <alignment vertical="center"/>
    </xf>
    <xf numFmtId="0" fontId="13" fillId="0" borderId="0"/>
    <xf numFmtId="0" fontId="2" fillId="0" borderId="0"/>
    <xf numFmtId="0" fontId="2" fillId="0" borderId="0">
      <alignment vertical="center"/>
    </xf>
    <xf numFmtId="0" fontId="2" fillId="0" borderId="0">
      <alignment vertical="center"/>
    </xf>
    <xf numFmtId="0" fontId="1" fillId="0" borderId="0"/>
    <xf numFmtId="0" fontId="1" fillId="0" borderId="0">
      <alignment vertical="center"/>
    </xf>
    <xf numFmtId="0" fontId="7" fillId="0" borderId="0"/>
    <xf numFmtId="0" fontId="14" fillId="0" borderId="0"/>
    <xf numFmtId="0" fontId="15" fillId="0" borderId="0">
      <alignment vertical="center"/>
    </xf>
    <xf numFmtId="0" fontId="16" fillId="0" borderId="0">
      <alignment vertical="center"/>
    </xf>
  </cellStyleXfs>
  <cellXfs count="25">
    <xf numFmtId="0" fontId="0" fillId="0" borderId="0" xfId="0"/>
    <xf numFmtId="0" fontId="10" fillId="0" borderId="0" xfId="0" applyFont="1" applyAlignment="1">
      <alignment horizontal="center" vertical="center"/>
    </xf>
    <xf numFmtId="177" fontId="10" fillId="0" borderId="0" xfId="0" applyNumberFormat="1" applyFont="1" applyAlignment="1">
      <alignment horizontal="center" vertical="center"/>
    </xf>
    <xf numFmtId="14" fontId="10" fillId="0" borderId="0" xfId="0" applyNumberFormat="1" applyFont="1" applyAlignment="1">
      <alignment horizontal="center" vertical="center"/>
    </xf>
    <xf numFmtId="0" fontId="10" fillId="0" borderId="0" xfId="0" applyFont="1" applyAlignment="1">
      <alignment vertical="center"/>
    </xf>
    <xf numFmtId="179" fontId="10" fillId="0" borderId="0" xfId="0" applyNumberFormat="1" applyFont="1" applyAlignment="1">
      <alignment horizontal="center" vertical="center"/>
    </xf>
    <xf numFmtId="177" fontId="10" fillId="0" borderId="0" xfId="0" applyNumberFormat="1" applyFont="1" applyAlignment="1">
      <alignment horizontal="right" vertical="center"/>
    </xf>
    <xf numFmtId="176" fontId="10" fillId="0" borderId="0" xfId="0" applyNumberFormat="1" applyFont="1" applyAlignment="1">
      <alignment horizontal="right" vertical="center"/>
    </xf>
    <xf numFmtId="178" fontId="10" fillId="0" borderId="0" xfId="0" applyNumberFormat="1" applyFont="1" applyAlignment="1">
      <alignment horizontal="right" vertical="center"/>
    </xf>
    <xf numFmtId="0" fontId="11" fillId="2" borderId="0" xfId="0" applyFont="1" applyFill="1" applyAlignment="1">
      <alignment horizontal="center" vertical="center"/>
    </xf>
    <xf numFmtId="0" fontId="10" fillId="0" borderId="0" xfId="0" applyFont="1"/>
    <xf numFmtId="0" fontId="10" fillId="2" borderId="0" xfId="0" applyFont="1" applyFill="1" applyAlignment="1">
      <alignment horizontal="center" vertical="center"/>
    </xf>
    <xf numFmtId="0" fontId="17" fillId="0" borderId="0" xfId="15" applyFont="1" applyAlignment="1">
      <alignment horizontal="center" vertical="center"/>
    </xf>
    <xf numFmtId="14" fontId="17" fillId="0" borderId="0" xfId="15" applyNumberFormat="1" applyFont="1" applyAlignment="1">
      <alignment horizontal="center" vertical="center"/>
    </xf>
    <xf numFmtId="0" fontId="17" fillId="0" borderId="0" xfId="0" applyFont="1" applyAlignment="1">
      <alignment horizontal="center" vertical="center"/>
    </xf>
    <xf numFmtId="177" fontId="17" fillId="0" borderId="0" xfId="0" applyNumberFormat="1" applyFont="1" applyAlignment="1">
      <alignment horizontal="center" vertical="center"/>
    </xf>
    <xf numFmtId="179" fontId="17" fillId="0" borderId="0" xfId="0" applyNumberFormat="1" applyFont="1" applyAlignment="1">
      <alignment horizontal="center" vertical="center"/>
    </xf>
    <xf numFmtId="176" fontId="17" fillId="0" borderId="0" xfId="15" applyNumberFormat="1" applyFont="1" applyAlignment="1">
      <alignment horizontal="right" vertical="center"/>
    </xf>
    <xf numFmtId="177" fontId="17" fillId="0" borderId="0" xfId="15" applyNumberFormat="1" applyFont="1" applyAlignment="1">
      <alignment horizontal="right" vertical="center"/>
    </xf>
    <xf numFmtId="178" fontId="17" fillId="0" borderId="0" xfId="15" applyNumberFormat="1" applyFont="1" applyAlignment="1">
      <alignment horizontal="right" vertical="center"/>
    </xf>
    <xf numFmtId="176" fontId="17" fillId="0" borderId="0" xfId="15" applyNumberFormat="1" applyFont="1">
      <alignment vertical="center"/>
    </xf>
    <xf numFmtId="2" fontId="17" fillId="0" borderId="0" xfId="0" applyNumberFormat="1" applyFont="1" applyAlignment="1">
      <alignment vertical="center"/>
    </xf>
    <xf numFmtId="177" fontId="11" fillId="2" borderId="0" xfId="0" applyNumberFormat="1" applyFont="1" applyFill="1" applyAlignment="1">
      <alignment horizontal="center" vertical="center"/>
    </xf>
    <xf numFmtId="176" fontId="11" fillId="2" borderId="0" xfId="0" applyNumberFormat="1" applyFont="1" applyFill="1" applyAlignment="1">
      <alignment horizontal="center" vertical="center"/>
    </xf>
    <xf numFmtId="178" fontId="11" fillId="2" borderId="0" xfId="0" applyNumberFormat="1" applyFont="1" applyFill="1" applyAlignment="1">
      <alignment horizontal="center" vertical="center"/>
    </xf>
  </cellXfs>
  <cellStyles count="137">
    <cellStyle name="Normal_TF5_Water Sampling Log" xfId="135" xr:uid="{A0FCD193-A019-D24C-AAB3-50CA4A140839}"/>
    <cellStyle name="ハイパーリンク" xfId="1" builtinId="8" hidden="1"/>
    <cellStyle name="ハイパーリンク" xfId="3" builtinId="8" hidden="1"/>
    <cellStyle name="ハイパーリンク" xfId="5" builtinId="8" hidden="1"/>
    <cellStyle name="ハイパーリンク" xfId="7" builtinId="8" hidden="1"/>
    <cellStyle name="ハイパーリンク" xfId="9" builtinId="8" hidden="1"/>
    <cellStyle name="ハイパーリンク" xfId="11" builtinId="8" hidden="1"/>
    <cellStyle name="ハイパーリンク" xfId="13" builtinId="8" hidden="1"/>
    <cellStyle name="ハイパーリンク" xfId="16" builtinId="8" hidden="1"/>
    <cellStyle name="ハイパーリンク" xfId="18" builtinId="8" hidden="1"/>
    <cellStyle name="ハイパーリンク" xfId="20" builtinId="8" hidden="1"/>
    <cellStyle name="ハイパーリンク" xfId="22" builtinId="8" hidden="1"/>
    <cellStyle name="ハイパーリンク" xfId="24" builtinId="8" hidden="1"/>
    <cellStyle name="ハイパーリンク" xfId="26" builtinId="8" hidden="1"/>
    <cellStyle name="ハイパーリンク" xfId="28" builtinId="8" hidden="1"/>
    <cellStyle name="ハイパーリンク" xfId="30" builtinId="8" hidden="1"/>
    <cellStyle name="ハイパーリンク" xfId="32" builtinId="8" hidden="1"/>
    <cellStyle name="ハイパーリンク" xfId="34" builtinId="8" hidden="1"/>
    <cellStyle name="ハイパーリンク" xfId="36" builtinId="8" hidden="1"/>
    <cellStyle name="ハイパーリンク" xfId="38" builtinId="8" hidden="1"/>
    <cellStyle name="ハイパーリンク" xfId="40" builtinId="8" hidden="1"/>
    <cellStyle name="ハイパーリンク" xfId="42" builtinId="8" hidden="1"/>
    <cellStyle name="ハイパーリンク" xfId="44" builtinId="8" hidden="1"/>
    <cellStyle name="ハイパーリンク" xfId="46" builtinId="8" hidden="1"/>
    <cellStyle name="ハイパーリンク" xfId="48" builtinId="8" hidden="1"/>
    <cellStyle name="ハイパーリンク" xfId="50" builtinId="8" hidden="1"/>
    <cellStyle name="ハイパーリンク" xfId="52" builtinId="8" hidden="1"/>
    <cellStyle name="ハイパーリンク" xfId="54" builtinId="8" hidden="1"/>
    <cellStyle name="ハイパーリンク" xfId="56" builtinId="8" hidden="1"/>
    <cellStyle name="ハイパーリンク" xfId="58" builtinId="8" hidden="1"/>
    <cellStyle name="ハイパーリンク" xfId="60" builtinId="8" hidden="1"/>
    <cellStyle name="ハイパーリンク" xfId="62" builtinId="8" hidden="1"/>
    <cellStyle name="ハイパーリンク" xfId="64" builtinId="8" hidden="1"/>
    <cellStyle name="ハイパーリンク" xfId="66" builtinId="8" hidden="1"/>
    <cellStyle name="ハイパーリンク" xfId="68" builtinId="8" hidden="1"/>
    <cellStyle name="ハイパーリンク" xfId="70" builtinId="8" hidden="1"/>
    <cellStyle name="ハイパーリンク" xfId="72" builtinId="8" hidden="1"/>
    <cellStyle name="ハイパーリンク" xfId="74" builtinId="8" hidden="1"/>
    <cellStyle name="ハイパーリンク" xfId="76" builtinId="8" hidden="1"/>
    <cellStyle name="ハイパーリンク" xfId="78" builtinId="8" hidden="1"/>
    <cellStyle name="ハイパーリンク" xfId="80" builtinId="8" hidden="1"/>
    <cellStyle name="ハイパーリンク" xfId="82" builtinId="8" hidden="1"/>
    <cellStyle name="ハイパーリンク" xfId="84" builtinId="8" hidden="1"/>
    <cellStyle name="ハイパーリンク" xfId="86" builtinId="8" hidden="1"/>
    <cellStyle name="ハイパーリンク" xfId="88" builtinId="8" hidden="1"/>
    <cellStyle name="ハイパーリンク" xfId="90" builtinId="8" hidden="1"/>
    <cellStyle name="ハイパーリンク" xfId="92" builtinId="8" hidden="1"/>
    <cellStyle name="ハイパーリンク" xfId="94" builtinId="8" hidden="1"/>
    <cellStyle name="ハイパーリンク" xfId="96" builtinId="8" hidden="1"/>
    <cellStyle name="ハイパーリンク" xfId="98" builtinId="8" hidden="1"/>
    <cellStyle name="ハイパーリンク" xfId="100" builtinId="8" hidden="1"/>
    <cellStyle name="ハイパーリンク" xfId="102" builtinId="8" hidden="1"/>
    <cellStyle name="ハイパーリンク" xfId="104" builtinId="8" hidden="1"/>
    <cellStyle name="ハイパーリンク" xfId="106" builtinId="8" hidden="1"/>
    <cellStyle name="ハイパーリンク" xfId="108" builtinId="8" hidden="1"/>
    <cellStyle name="ハイパーリンク" xfId="110" builtinId="8" hidden="1"/>
    <cellStyle name="ハイパーリンク" xfId="112" builtinId="8" hidden="1"/>
    <cellStyle name="ハイパーリンク" xfId="114" builtinId="8" hidden="1"/>
    <cellStyle name="ハイパーリンク" xfId="116" builtinId="8" hidden="1"/>
    <cellStyle name="ハイパーリンク" xfId="118" builtinId="8" hidden="1"/>
    <cellStyle name="ハイパーリンク" xfId="120" builtinId="8" hidden="1"/>
    <cellStyle name="標準" xfId="0" builtinId="0"/>
    <cellStyle name="標準 10" xfId="134" xr:uid="{0E9D14FF-FC00-5E4E-B7E2-DA3CBF0F7CA1}"/>
    <cellStyle name="標準 12" xfId="136" xr:uid="{738151B1-E54A-4147-8C9E-C4CCE9F40357}"/>
    <cellStyle name="標準 2" xfId="15" xr:uid="{00000000-0005-0000-0000-00003D000000}"/>
    <cellStyle name="標準 2 2" xfId="125" xr:uid="{AE2238DA-2DAD-7448-963F-35C7BA21847C}"/>
    <cellStyle name="標準 2 2 2" xfId="129" xr:uid="{9CB48C45-1CE6-4D4F-BA55-A17E3CE257A4}"/>
    <cellStyle name="標準 2 2 3" xfId="132" xr:uid="{4A09D914-2DB1-4484-BC45-9E1D07A88FFF}"/>
    <cellStyle name="標準 2 3" xfId="123" xr:uid="{00000000-0005-0000-0000-00003E000000}"/>
    <cellStyle name="標準 2 6" xfId="126" xr:uid="{3E36BA54-3D40-B444-99DF-AD9BCE033FF0}"/>
    <cellStyle name="標準 3" xfId="133" xr:uid="{7858FDF1-4829-F540-BCE3-2413B3FB063B}"/>
    <cellStyle name="標準 4" xfId="122" xr:uid="{00000000-0005-0000-0000-00003F000000}"/>
    <cellStyle name="標準 4 2" xfId="128" xr:uid="{F8DE4226-B8CA-40DE-9DFE-D8B21B8FFCFA}"/>
    <cellStyle name="標準 4 3" xfId="131" xr:uid="{1A6CC49A-A821-430D-94DC-B1A964C1BBF9}"/>
    <cellStyle name="標準 5" xfId="124" xr:uid="{00000000-0005-0000-0000-000040000000}"/>
    <cellStyle name="標準 6" xfId="130" xr:uid="{75A264A0-5ECE-4D9E-90FA-E2FCABB1C605}"/>
    <cellStyle name="標準 7" xfId="127" xr:uid="{E8C1C11C-3FA5-E24E-B3A4-1D6DEBDA2AC4}"/>
    <cellStyle name="表示済みのハイパーリンク" xfId="2" builtinId="9" hidden="1"/>
    <cellStyle name="表示済みのハイパーリンク" xfId="4" builtinId="9" hidden="1"/>
    <cellStyle name="表示済みのハイパーリンク" xfId="6" builtinId="9" hidden="1"/>
    <cellStyle name="表示済みのハイパーリンク" xfId="8" builtinId="9" hidden="1"/>
    <cellStyle name="表示済みのハイパーリンク" xfId="10" builtinId="9" hidden="1"/>
    <cellStyle name="表示済みのハイパーリンク" xfId="12" builtinId="9" hidden="1"/>
    <cellStyle name="表示済みのハイパーリンク" xfId="14" builtinId="9" hidden="1"/>
    <cellStyle name="表示済みのハイパーリンク" xfId="17" builtinId="9" hidden="1"/>
    <cellStyle name="表示済みのハイパーリンク" xfId="19" builtinId="9" hidden="1"/>
    <cellStyle name="表示済みのハイパーリンク" xfId="21" builtinId="9" hidden="1"/>
    <cellStyle name="表示済みのハイパーリンク" xfId="23" builtinId="9" hidden="1"/>
    <cellStyle name="表示済みのハイパーリンク" xfId="25" builtinId="9" hidden="1"/>
    <cellStyle name="表示済みのハイパーリンク" xfId="27" builtinId="9" hidden="1"/>
    <cellStyle name="表示済みのハイパーリンク" xfId="29" builtinId="9" hidden="1"/>
    <cellStyle name="表示済みのハイパーリンク" xfId="31" builtinId="9" hidden="1"/>
    <cellStyle name="表示済みのハイパーリンク" xfId="33" builtinId="9" hidden="1"/>
    <cellStyle name="表示済みのハイパーリンク" xfId="35" builtinId="9" hidden="1"/>
    <cellStyle name="表示済みのハイパーリンク" xfId="37" builtinId="9" hidden="1"/>
    <cellStyle name="表示済みのハイパーリンク" xfId="39" builtinId="9" hidden="1"/>
    <cellStyle name="表示済みのハイパーリンク" xfId="41" builtinId="9" hidden="1"/>
    <cellStyle name="表示済みのハイパーリンク" xfId="43" builtinId="9" hidden="1"/>
    <cellStyle name="表示済みのハイパーリンク" xfId="45" builtinId="9" hidden="1"/>
    <cellStyle name="表示済みのハイパーリンク" xfId="47" builtinId="9" hidden="1"/>
    <cellStyle name="表示済みのハイパーリンク" xfId="49" builtinId="9" hidden="1"/>
    <cellStyle name="表示済みのハイパーリンク" xfId="51" builtinId="9" hidden="1"/>
    <cellStyle name="表示済みのハイパーリンク" xfId="53" builtinId="9" hidden="1"/>
    <cellStyle name="表示済みのハイパーリンク" xfId="55" builtinId="9" hidden="1"/>
    <cellStyle name="表示済みのハイパーリンク" xfId="57" builtinId="9" hidden="1"/>
    <cellStyle name="表示済みのハイパーリンク" xfId="59" builtinId="9" hidden="1"/>
    <cellStyle name="表示済みのハイパーリンク" xfId="61" builtinId="9" hidden="1"/>
    <cellStyle name="表示済みのハイパーリンク" xfId="63" builtinId="9" hidden="1"/>
    <cellStyle name="表示済みのハイパーリンク" xfId="65" builtinId="9" hidden="1"/>
    <cellStyle name="表示済みのハイパーリンク" xfId="67" builtinId="9" hidden="1"/>
    <cellStyle name="表示済みのハイパーリンク" xfId="69" builtinId="9" hidden="1"/>
    <cellStyle name="表示済みのハイパーリンク" xfId="71" builtinId="9" hidden="1"/>
    <cellStyle name="表示済みのハイパーリンク" xfId="73" builtinId="9" hidden="1"/>
    <cellStyle name="表示済みのハイパーリンク" xfId="75" builtinId="9" hidden="1"/>
    <cellStyle name="表示済みのハイパーリンク" xfId="77" builtinId="9" hidden="1"/>
    <cellStyle name="表示済みのハイパーリンク" xfId="79" builtinId="9" hidden="1"/>
    <cellStyle name="表示済みのハイパーリンク" xfId="81" builtinId="9" hidden="1"/>
    <cellStyle name="表示済みのハイパーリンク" xfId="83" builtinId="9" hidden="1"/>
    <cellStyle name="表示済みのハイパーリンク" xfId="85" builtinId="9" hidden="1"/>
    <cellStyle name="表示済みのハイパーリンク" xfId="87" builtinId="9" hidden="1"/>
    <cellStyle name="表示済みのハイパーリンク" xfId="89" builtinId="9" hidden="1"/>
    <cellStyle name="表示済みのハイパーリンク" xfId="91" builtinId="9" hidden="1"/>
    <cellStyle name="表示済みのハイパーリンク" xfId="93" builtinId="9" hidden="1"/>
    <cellStyle name="表示済みのハイパーリンク" xfId="95" builtinId="9" hidden="1"/>
    <cellStyle name="表示済みのハイパーリンク" xfId="97" builtinId="9" hidden="1"/>
    <cellStyle name="表示済みのハイパーリンク" xfId="99" builtinId="9" hidden="1"/>
    <cellStyle name="表示済みのハイパーリンク" xfId="101" builtinId="9" hidden="1"/>
    <cellStyle name="表示済みのハイパーリンク" xfId="103" builtinId="9" hidden="1"/>
    <cellStyle name="表示済みのハイパーリンク" xfId="105" builtinId="9" hidden="1"/>
    <cellStyle name="表示済みのハイパーリンク" xfId="107" builtinId="9" hidden="1"/>
    <cellStyle name="表示済みのハイパーリンク" xfId="109" builtinId="9" hidden="1"/>
    <cellStyle name="表示済みのハイパーリンク" xfId="111" builtinId="9" hidden="1"/>
    <cellStyle name="表示済みのハイパーリンク" xfId="113" builtinId="9" hidden="1"/>
    <cellStyle name="表示済みのハイパーリンク" xfId="115" builtinId="9" hidden="1"/>
    <cellStyle name="表示済みのハイパーリンク" xfId="117" builtinId="9" hidden="1"/>
    <cellStyle name="表示済みのハイパーリンク" xfId="119" builtinId="9" hidden="1"/>
    <cellStyle name="表示済みのハイパーリンク" xfId="121" builtinId="9" hidden="1"/>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6</xdr:col>
      <xdr:colOff>145739</xdr:colOff>
      <xdr:row>10</xdr:row>
      <xdr:rowOff>41640</xdr:rowOff>
    </xdr:from>
    <xdr:to>
      <xdr:col>17</xdr:col>
      <xdr:colOff>205075</xdr:colOff>
      <xdr:row>25</xdr:row>
      <xdr:rowOff>31230</xdr:rowOff>
    </xdr:to>
    <xdr:sp macro="" textlink="">
      <xdr:nvSpPr>
        <xdr:cNvPr id="3" name="テキスト ボックス 2">
          <a:extLst>
            <a:ext uri="{FF2B5EF4-FFF2-40B4-BE49-F238E27FC236}">
              <a16:creationId xmlns:a16="http://schemas.microsoft.com/office/drawing/2014/main" id="{DB09E4CB-188A-0F40-A982-C77141825DA5}"/>
            </a:ext>
          </a:extLst>
        </xdr:cNvPr>
        <xdr:cNvSpPr txBox="1"/>
      </xdr:nvSpPr>
      <xdr:spPr>
        <a:xfrm>
          <a:off x="5069591" y="1811312"/>
          <a:ext cx="8064500" cy="264409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ja-JP" altLang="en-US" sz="1100" b="0" i="0" u="none" strike="noStrike">
              <a:solidFill>
                <a:schemeClr val="dk1"/>
              </a:solidFill>
              <a:effectLst/>
              <a:latin typeface="+mn-lt"/>
              <a:ea typeface="+mn-ea"/>
              <a:cs typeface="+mn-cs"/>
            </a:rPr>
            <a:t>参考データを５行入力してあります（←消して頂いて大丈夫です）</a:t>
          </a:r>
        </a:p>
        <a:p>
          <a:r>
            <a:rPr lang="ja-JP" altLang="en-US" sz="1100" b="0" i="0" u="none" strike="noStrike">
              <a:solidFill>
                <a:schemeClr val="dk1"/>
              </a:solidFill>
              <a:effectLst/>
              <a:latin typeface="+mn-lt"/>
              <a:ea typeface="+mn-ea"/>
              <a:cs typeface="+mn-cs"/>
            </a:rPr>
            <a:t>○１行目の赤文字の黄色セルは入力推奨です（データが無ければ空欄で</a:t>
          </a:r>
          <a:r>
            <a:rPr lang="en" altLang="ja-JP" sz="1100" b="0" i="0" u="none" strike="noStrike">
              <a:solidFill>
                <a:schemeClr val="dk1"/>
              </a:solidFill>
              <a:effectLst/>
              <a:latin typeface="+mn-lt"/>
              <a:ea typeface="+mn-ea"/>
              <a:cs typeface="+mn-cs"/>
            </a:rPr>
            <a:t>OK</a:t>
          </a:r>
          <a:r>
            <a:rPr lang="ja-JP" altLang="en-US" sz="1100" b="0" i="0" u="none" strike="noStrike">
              <a:solidFill>
                <a:schemeClr val="dk1"/>
              </a:solidFill>
              <a:effectLst/>
              <a:latin typeface="+mn-lt"/>
              <a:ea typeface="+mn-ea"/>
              <a:cs typeface="+mn-cs"/>
            </a:rPr>
            <a:t>です）</a:t>
          </a:r>
        </a:p>
        <a:p>
          <a:r>
            <a:rPr lang="ja-JP" altLang="en-US" sz="1100" b="0" i="0" u="none" strike="noStrike">
              <a:solidFill>
                <a:schemeClr val="dk1"/>
              </a:solidFill>
              <a:effectLst/>
              <a:latin typeface="+mn-lt"/>
              <a:ea typeface="+mn-ea"/>
              <a:cs typeface="+mn-cs"/>
            </a:rPr>
            <a:t>○緯度経度の「分」は</a:t>
          </a:r>
          <a:r>
            <a:rPr lang="en-US" altLang="ja-JP" sz="1100" b="0" i="0" u="none" strike="noStrike">
              <a:solidFill>
                <a:schemeClr val="dk1"/>
              </a:solidFill>
              <a:effectLst/>
              <a:latin typeface="+mn-lt"/>
              <a:ea typeface="+mn-ea"/>
              <a:cs typeface="+mn-cs"/>
            </a:rPr>
            <a:t>60</a:t>
          </a:r>
          <a:r>
            <a:rPr lang="ja-JP" altLang="en-US" sz="1100" b="0" i="0" u="none" strike="noStrike">
              <a:solidFill>
                <a:schemeClr val="dk1"/>
              </a:solidFill>
              <a:effectLst/>
              <a:latin typeface="+mn-lt"/>
              <a:ea typeface="+mn-ea"/>
              <a:cs typeface="+mn-cs"/>
            </a:rPr>
            <a:t>進法ではなく</a:t>
          </a:r>
          <a:r>
            <a:rPr lang="en-US" altLang="ja-JP" sz="1100" b="0" i="0" u="none" strike="noStrike">
              <a:solidFill>
                <a:schemeClr val="dk1"/>
              </a:solidFill>
              <a:effectLst/>
              <a:latin typeface="+mn-lt"/>
              <a:ea typeface="+mn-ea"/>
              <a:cs typeface="+mn-cs"/>
            </a:rPr>
            <a:t>10</a:t>
          </a:r>
          <a:r>
            <a:rPr lang="ja-JP" altLang="en-US" sz="1100" b="0" i="0" u="none" strike="noStrike">
              <a:solidFill>
                <a:schemeClr val="dk1"/>
              </a:solidFill>
              <a:effectLst/>
              <a:latin typeface="+mn-lt"/>
              <a:ea typeface="+mn-ea"/>
              <a:cs typeface="+mn-cs"/>
            </a:rPr>
            <a:t>進法です。</a:t>
          </a:r>
          <a:r>
            <a:rPr lang="en-US" altLang="ja-JP" sz="1100" b="0" i="0" u="none" strike="noStrike">
              <a:solidFill>
                <a:schemeClr val="dk1"/>
              </a:solidFill>
              <a:effectLst/>
              <a:latin typeface="+mn-lt"/>
              <a:ea typeface="+mn-ea"/>
              <a:cs typeface="+mn-cs"/>
            </a:rPr>
            <a:t>60</a:t>
          </a:r>
          <a:r>
            <a:rPr lang="ja-JP" altLang="en-US" sz="1100" b="0" i="0" u="none" strike="noStrike">
              <a:solidFill>
                <a:schemeClr val="dk1"/>
              </a:solidFill>
              <a:effectLst/>
              <a:latin typeface="+mn-lt"/>
              <a:ea typeface="+mn-ea"/>
              <a:cs typeface="+mn-cs"/>
            </a:rPr>
            <a:t>進法で入力した場合には換算処理をしてください。</a:t>
          </a:r>
          <a:endParaRPr lang="en-US" altLang="ja-JP" sz="1100" b="0" i="0" u="none" strike="noStrike">
            <a:solidFill>
              <a:schemeClr val="dk1"/>
            </a:solidFill>
            <a:effectLst/>
            <a:latin typeface="+mn-lt"/>
            <a:ea typeface="+mn-ea"/>
            <a:cs typeface="+mn-cs"/>
          </a:endParaRPr>
        </a:p>
        <a:p>
          <a:r>
            <a:rPr lang="ja-JP" altLang="en-US" sz="1100" b="0" i="0" u="none" strike="noStrike">
              <a:solidFill>
                <a:schemeClr val="dk1"/>
              </a:solidFill>
              <a:effectLst/>
              <a:latin typeface="+mn-lt"/>
              <a:ea typeface="+mn-ea"/>
              <a:cs typeface="+mn-cs"/>
            </a:rPr>
            <a:t>○緯度は</a:t>
          </a:r>
          <a:r>
            <a:rPr lang="en-US" altLang="ja-JP" sz="1100" b="0" i="0" u="none" strike="noStrike">
              <a:solidFill>
                <a:schemeClr val="dk1"/>
              </a:solidFill>
              <a:effectLst/>
              <a:latin typeface="+mn-lt"/>
              <a:ea typeface="+mn-ea"/>
              <a:cs typeface="+mn-cs"/>
            </a:rPr>
            <a:t>-90</a:t>
          </a:r>
          <a:r>
            <a:rPr lang="ja-JP" altLang="en-US" sz="1100" b="0" i="0" u="none" strike="noStrike">
              <a:solidFill>
                <a:schemeClr val="dk1"/>
              </a:solidFill>
              <a:effectLst/>
              <a:latin typeface="+mn-lt"/>
              <a:ea typeface="+mn-ea"/>
              <a:cs typeface="+mn-cs"/>
            </a:rPr>
            <a:t>から</a:t>
          </a:r>
          <a:r>
            <a:rPr lang="en-US" altLang="ja-JP" sz="1100" b="0" i="0" u="none" strike="noStrike">
              <a:solidFill>
                <a:schemeClr val="dk1"/>
              </a:solidFill>
              <a:effectLst/>
              <a:latin typeface="+mn-lt"/>
              <a:ea typeface="+mn-ea"/>
              <a:cs typeface="+mn-cs"/>
            </a:rPr>
            <a:t>+90</a:t>
          </a:r>
          <a:r>
            <a:rPr lang="ja-JP" altLang="en-US" sz="1100" b="0" i="0" u="none" strike="noStrike">
              <a:solidFill>
                <a:schemeClr val="dk1"/>
              </a:solidFill>
              <a:effectLst/>
              <a:latin typeface="+mn-lt"/>
              <a:ea typeface="+mn-ea"/>
              <a:cs typeface="+mn-cs"/>
            </a:rPr>
            <a:t>，経度は</a:t>
          </a:r>
          <a:r>
            <a:rPr lang="en-US" altLang="ja-JP" sz="1100" b="0" i="0" u="none" strike="noStrike">
              <a:solidFill>
                <a:schemeClr val="dk1"/>
              </a:solidFill>
              <a:effectLst/>
              <a:latin typeface="+mn-lt"/>
              <a:ea typeface="+mn-ea"/>
              <a:cs typeface="+mn-cs"/>
            </a:rPr>
            <a:t>-180</a:t>
          </a:r>
          <a:r>
            <a:rPr lang="ja-JP" altLang="en-US" sz="1100" b="0" i="0" u="none" strike="noStrike">
              <a:solidFill>
                <a:schemeClr val="dk1"/>
              </a:solidFill>
              <a:effectLst/>
              <a:latin typeface="+mn-lt"/>
              <a:ea typeface="+mn-ea"/>
              <a:cs typeface="+mn-cs"/>
            </a:rPr>
            <a:t>から</a:t>
          </a:r>
          <a:r>
            <a:rPr lang="en-US" altLang="ja-JP" sz="1100" b="0" i="0" u="none" strike="noStrike">
              <a:solidFill>
                <a:schemeClr val="dk1"/>
              </a:solidFill>
              <a:effectLst/>
              <a:latin typeface="+mn-lt"/>
              <a:ea typeface="+mn-ea"/>
              <a:cs typeface="+mn-cs"/>
            </a:rPr>
            <a:t>+180</a:t>
          </a:r>
          <a:r>
            <a:rPr lang="ja-JP" altLang="en-US" sz="1100" b="0" i="0" u="none" strike="noStrike">
              <a:solidFill>
                <a:schemeClr val="dk1"/>
              </a:solidFill>
              <a:effectLst/>
              <a:latin typeface="+mn-lt"/>
              <a:ea typeface="+mn-ea"/>
              <a:cs typeface="+mn-cs"/>
            </a:rPr>
            <a:t>で入力してください</a:t>
          </a:r>
          <a:endParaRPr lang="en-US" altLang="ja-JP" sz="1100" b="0" i="0" u="none" strike="noStrike">
            <a:solidFill>
              <a:schemeClr val="dk1"/>
            </a:solidFill>
            <a:effectLst/>
            <a:latin typeface="+mn-lt"/>
            <a:ea typeface="+mn-ea"/>
            <a:cs typeface="+mn-cs"/>
          </a:endParaRPr>
        </a:p>
        <a:p>
          <a:r>
            <a:rPr lang="ja-JP" altLang="en-US" sz="1100" b="0" i="0" u="none" strike="noStrike">
              <a:solidFill>
                <a:schemeClr val="dk1"/>
              </a:solidFill>
              <a:effectLst/>
              <a:latin typeface="+mn-lt"/>
              <a:ea typeface="+mn-ea"/>
              <a:cs typeface="+mn-cs"/>
            </a:rPr>
            <a:t>○他，関連項目があれば列を追記して入力しておいて頂ければ今後活用できる場面があるかもしれません</a:t>
          </a:r>
        </a:p>
        <a:p>
          <a:br>
            <a:rPr lang="ja-JP" altLang="en-US"/>
          </a:br>
          <a:r>
            <a:rPr lang="en" altLang="ja-JP" b="1"/>
            <a:t>Five rows of sample data are provided (you may delete them if unnecessary).</a:t>
          </a:r>
          <a:endParaRPr lang="en" altLang="ja-JP"/>
        </a:p>
        <a:p>
          <a:r>
            <a:rPr lang="en" altLang="ja-JP"/>
            <a:t>The yellow cells with red text in the first row are recommended fields (leave blank if data are unavailable).</a:t>
          </a:r>
        </a:p>
        <a:p>
          <a:r>
            <a:rPr lang="en" altLang="ja-JP"/>
            <a:t>Latitude and longitude should be entered in decimal degrees (not in degrees–minutes–seconds). If values are provided in DMS format, please convert them to decimal degrees.</a:t>
          </a:r>
        </a:p>
        <a:p>
          <a:r>
            <a:rPr lang="en" altLang="ja-JP"/>
            <a:t>Latitude must be within −90 to +90, and longitude within −180 to +180.</a:t>
          </a:r>
        </a:p>
        <a:p>
          <a:r>
            <a:rPr lang="en" altLang="ja-JP"/>
            <a:t>If there are additional relevant parameters, you may add new columns as needed; these may be useful for future applications.</a:t>
          </a:r>
        </a:p>
        <a:p>
          <a:endParaRPr kumimoji="1" lang="ja-JP" altLang="en-US" sz="1100"/>
        </a:p>
      </xdr:txBody>
    </xdr:sp>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ホワイト">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E8E13E-78E2-6248-8EFC-B9675F6691E1}">
  <dimension ref="A1:X6"/>
  <sheetViews>
    <sheetView tabSelected="1" zoomScale="122" zoomScaleNormal="122" workbookViewId="0">
      <pane ySplit="1" topLeftCell="A2" activePane="bottomLeft" state="frozen"/>
      <selection pane="bottomLeft" activeCell="D11" sqref="D11"/>
    </sheetView>
  </sheetViews>
  <sheetFormatPr baseColWidth="10" defaultColWidth="12.83203125" defaultRowHeight="14"/>
  <cols>
    <col min="1" max="1" width="12.6640625" style="1" bestFit="1" customWidth="1"/>
    <col min="2" max="2" width="15.6640625" style="1" customWidth="1"/>
    <col min="3" max="3" width="13.5" style="1" bestFit="1" customWidth="1"/>
    <col min="4" max="4" width="10.1640625" style="3" bestFit="1" customWidth="1"/>
    <col min="5" max="5" width="5.83203125" style="1" bestFit="1" customWidth="1"/>
    <col min="6" max="6" width="6.6640625" style="1" bestFit="1" customWidth="1"/>
    <col min="7" max="7" width="4.6640625" style="2" bestFit="1" customWidth="1"/>
    <col min="8" max="8" width="8" style="5" bestFit="1" customWidth="1"/>
    <col min="9" max="9" width="12.83203125" style="7" bestFit="1" customWidth="1"/>
    <col min="10" max="10" width="11.83203125" style="7" bestFit="1" customWidth="1"/>
    <col min="11" max="11" width="7.83203125" style="6" bestFit="1" customWidth="1"/>
    <col min="12" max="12" width="7.6640625" style="6" customWidth="1"/>
    <col min="13" max="13" width="7.5" style="6" customWidth="1"/>
    <col min="14" max="14" width="15.1640625" style="8" bestFit="1" customWidth="1"/>
    <col min="15" max="15" width="8.1640625" style="7" bestFit="1" customWidth="1"/>
    <col min="16" max="17" width="10.6640625" style="4" bestFit="1" customWidth="1"/>
    <col min="18" max="18" width="10.6640625" style="4" customWidth="1"/>
    <col min="19" max="19" width="16.1640625" style="1" bestFit="1" customWidth="1"/>
    <col min="20" max="20" width="10.83203125" style="1" bestFit="1" customWidth="1"/>
    <col min="21" max="21" width="18.33203125" style="1" customWidth="1"/>
    <col min="22" max="22" width="60.33203125" style="4" bestFit="1" customWidth="1"/>
    <col min="23" max="23" width="35.33203125" style="4" customWidth="1"/>
    <col min="24" max="24" width="24.33203125" style="4" customWidth="1"/>
    <col min="25" max="25" width="12.83203125" style="4"/>
    <col min="26" max="26" width="13" style="4" customWidth="1"/>
    <col min="27" max="16384" width="12.83203125" style="4"/>
  </cols>
  <sheetData>
    <row r="1" spans="1:24" s="1" customFormat="1">
      <c r="A1" s="11" t="s">
        <v>9</v>
      </c>
      <c r="B1" s="1" t="s">
        <v>0</v>
      </c>
      <c r="C1" s="1" t="s">
        <v>17</v>
      </c>
      <c r="D1" s="1" t="s">
        <v>4</v>
      </c>
      <c r="E1" s="9" t="s">
        <v>10</v>
      </c>
      <c r="F1" s="9" t="s">
        <v>11</v>
      </c>
      <c r="G1" s="14" t="s">
        <v>12</v>
      </c>
      <c r="H1" s="5" t="s">
        <v>15</v>
      </c>
      <c r="I1" s="23" t="s">
        <v>7</v>
      </c>
      <c r="J1" s="23" t="s">
        <v>6</v>
      </c>
      <c r="K1" s="22" t="s">
        <v>5</v>
      </c>
      <c r="L1" s="2" t="s">
        <v>21</v>
      </c>
      <c r="M1" s="2" t="s">
        <v>16</v>
      </c>
      <c r="N1" s="24" t="s">
        <v>3</v>
      </c>
      <c r="O1" s="23" t="s">
        <v>1</v>
      </c>
      <c r="P1" s="9" t="s">
        <v>8</v>
      </c>
      <c r="Q1" s="11" t="s">
        <v>2</v>
      </c>
      <c r="R1" s="11" t="s">
        <v>22</v>
      </c>
      <c r="S1" s="1" t="s">
        <v>14</v>
      </c>
      <c r="T1" s="1" t="s">
        <v>20</v>
      </c>
      <c r="U1" s="9" t="s">
        <v>23</v>
      </c>
      <c r="V1" s="1" t="s">
        <v>13</v>
      </c>
      <c r="W1" s="1" t="s">
        <v>18</v>
      </c>
      <c r="X1" s="1" t="s">
        <v>19</v>
      </c>
    </row>
    <row r="2" spans="1:24" s="10" customFormat="1">
      <c r="A2" s="4" t="s">
        <v>27</v>
      </c>
      <c r="B2" s="12">
        <v>13</v>
      </c>
      <c r="C2" s="4" t="s">
        <v>27</v>
      </c>
      <c r="D2" s="13">
        <v>42439</v>
      </c>
      <c r="E2" s="14">
        <f t="shared" ref="E2:E6" si="0">YEAR(D2)</f>
        <v>2016</v>
      </c>
      <c r="F2" s="14">
        <f t="shared" ref="F2:F6" si="1">MONTH(D2)</f>
        <v>3</v>
      </c>
      <c r="G2" s="15">
        <f t="shared" ref="G2:G6" si="2">DAY(D2)</f>
        <v>10</v>
      </c>
      <c r="H2" s="16">
        <v>0.90277777777777779</v>
      </c>
      <c r="I2" s="17">
        <v>126.76926666666667</v>
      </c>
      <c r="J2" s="17">
        <v>31.750699999999998</v>
      </c>
      <c r="K2" s="18">
        <v>0</v>
      </c>
      <c r="L2" s="18">
        <v>0</v>
      </c>
      <c r="M2" s="18">
        <v>0</v>
      </c>
      <c r="N2" s="19">
        <v>16.399999999999999</v>
      </c>
      <c r="O2" s="20">
        <v>34.659362283430269</v>
      </c>
      <c r="P2" s="21">
        <v>0.27700000000000002</v>
      </c>
      <c r="Q2" s="21">
        <v>1.869</v>
      </c>
      <c r="R2" s="21"/>
      <c r="S2" s="12" t="s">
        <v>24</v>
      </c>
      <c r="T2" s="12"/>
      <c r="U2" s="12" t="s">
        <v>25</v>
      </c>
      <c r="V2" s="4" t="s">
        <v>27</v>
      </c>
    </row>
    <row r="3" spans="1:24" s="10" customFormat="1">
      <c r="A3" s="4" t="s">
        <v>27</v>
      </c>
      <c r="B3" s="12" t="s">
        <v>26</v>
      </c>
      <c r="C3" s="4" t="s">
        <v>27</v>
      </c>
      <c r="D3" s="13">
        <v>42440</v>
      </c>
      <c r="E3" s="14">
        <f t="shared" si="0"/>
        <v>2016</v>
      </c>
      <c r="F3" s="14">
        <f t="shared" si="1"/>
        <v>3</v>
      </c>
      <c r="G3" s="15">
        <f t="shared" si="2"/>
        <v>11</v>
      </c>
      <c r="H3" s="16">
        <v>4.6527777777777779E-2</v>
      </c>
      <c r="I3" s="17">
        <v>127.23175000000001</v>
      </c>
      <c r="J3" s="17">
        <v>31.747033333333334</v>
      </c>
      <c r="K3" s="18">
        <v>0</v>
      </c>
      <c r="L3" s="18">
        <v>0</v>
      </c>
      <c r="M3" s="18">
        <v>0</v>
      </c>
      <c r="N3" s="19">
        <v>15.5</v>
      </c>
      <c r="O3" s="20">
        <v>34.576365674671749</v>
      </c>
      <c r="P3" s="21">
        <v>0.20699999999999999</v>
      </c>
      <c r="Q3" s="21">
        <v>1.34</v>
      </c>
      <c r="R3" s="21"/>
      <c r="S3" s="12" t="s">
        <v>24</v>
      </c>
      <c r="T3" s="12">
        <v>1</v>
      </c>
      <c r="U3" s="12" t="s">
        <v>25</v>
      </c>
      <c r="V3" s="4" t="s">
        <v>27</v>
      </c>
    </row>
    <row r="4" spans="1:24" s="10" customFormat="1">
      <c r="A4" s="4" t="s">
        <v>27</v>
      </c>
      <c r="B4" s="12" t="s">
        <v>26</v>
      </c>
      <c r="C4" s="4" t="s">
        <v>27</v>
      </c>
      <c r="D4" s="13">
        <v>42440</v>
      </c>
      <c r="E4" s="14">
        <f t="shared" si="0"/>
        <v>2016</v>
      </c>
      <c r="F4" s="14">
        <f t="shared" si="1"/>
        <v>3</v>
      </c>
      <c r="G4" s="15">
        <f t="shared" si="2"/>
        <v>11</v>
      </c>
      <c r="H4" s="16">
        <v>4.6527777777777779E-2</v>
      </c>
      <c r="I4" s="17">
        <v>127.23175000000001</v>
      </c>
      <c r="J4" s="17">
        <v>31.747033333333334</v>
      </c>
      <c r="K4" s="18">
        <v>10.215</v>
      </c>
      <c r="L4" s="18">
        <v>10</v>
      </c>
      <c r="M4" s="18">
        <v>0</v>
      </c>
      <c r="N4" s="19">
        <v>15.934799999999999</v>
      </c>
      <c r="O4" s="20">
        <v>34.5505</v>
      </c>
      <c r="P4" s="21">
        <v>0.19400000000000001</v>
      </c>
      <c r="Q4" s="21">
        <v>1.357</v>
      </c>
      <c r="R4" s="21"/>
      <c r="S4" s="12" t="s">
        <v>24</v>
      </c>
      <c r="T4" s="12">
        <v>1</v>
      </c>
      <c r="U4" s="12" t="s">
        <v>25</v>
      </c>
      <c r="V4" s="4" t="s">
        <v>27</v>
      </c>
    </row>
    <row r="5" spans="1:24" s="10" customFormat="1">
      <c r="A5" s="4" t="s">
        <v>27</v>
      </c>
      <c r="B5" s="12" t="s">
        <v>26</v>
      </c>
      <c r="C5" s="4" t="s">
        <v>27</v>
      </c>
      <c r="D5" s="13">
        <v>42440</v>
      </c>
      <c r="E5" s="14">
        <f t="shared" si="0"/>
        <v>2016</v>
      </c>
      <c r="F5" s="14">
        <f t="shared" si="1"/>
        <v>3</v>
      </c>
      <c r="G5" s="15">
        <f t="shared" si="2"/>
        <v>11</v>
      </c>
      <c r="H5" s="16">
        <v>4.6527777777777779E-2</v>
      </c>
      <c r="I5" s="17">
        <v>127.23175000000001</v>
      </c>
      <c r="J5" s="17">
        <v>31.747033333333334</v>
      </c>
      <c r="K5" s="18">
        <v>21.05</v>
      </c>
      <c r="L5" s="18">
        <v>20</v>
      </c>
      <c r="M5" s="18">
        <v>0</v>
      </c>
      <c r="N5" s="19">
        <v>15.932600000000001</v>
      </c>
      <c r="O5" s="20">
        <v>34.5505</v>
      </c>
      <c r="P5" s="21">
        <v>0.217</v>
      </c>
      <c r="Q5" s="21">
        <v>1.389</v>
      </c>
      <c r="R5" s="21"/>
      <c r="S5" s="12" t="s">
        <v>24</v>
      </c>
      <c r="T5" s="12">
        <v>1</v>
      </c>
      <c r="U5" s="12" t="s">
        <v>25</v>
      </c>
      <c r="V5" s="4" t="s">
        <v>27</v>
      </c>
    </row>
    <row r="6" spans="1:24" s="10" customFormat="1">
      <c r="A6" s="4" t="s">
        <v>27</v>
      </c>
      <c r="B6" s="12" t="s">
        <v>26</v>
      </c>
      <c r="C6" s="4" t="s">
        <v>27</v>
      </c>
      <c r="D6" s="13">
        <v>42440</v>
      </c>
      <c r="E6" s="14">
        <f t="shared" si="0"/>
        <v>2016</v>
      </c>
      <c r="F6" s="14">
        <f t="shared" si="1"/>
        <v>3</v>
      </c>
      <c r="G6" s="15">
        <f t="shared" si="2"/>
        <v>11</v>
      </c>
      <c r="H6" s="16">
        <v>4.6527777777777779E-2</v>
      </c>
      <c r="I6" s="17">
        <v>127.23175000000001</v>
      </c>
      <c r="J6" s="17">
        <v>31.747033333333334</v>
      </c>
      <c r="K6" s="18">
        <v>30.423999999999999</v>
      </c>
      <c r="L6" s="18">
        <v>30</v>
      </c>
      <c r="M6" s="18">
        <v>0</v>
      </c>
      <c r="N6" s="19">
        <v>15.952199999999999</v>
      </c>
      <c r="O6" s="20">
        <v>34.5505</v>
      </c>
      <c r="P6" s="21">
        <v>0.17299999999999999</v>
      </c>
      <c r="Q6" s="21">
        <v>1.29</v>
      </c>
      <c r="R6" s="21"/>
      <c r="S6" s="12" t="s">
        <v>24</v>
      </c>
      <c r="T6" s="12">
        <v>1</v>
      </c>
      <c r="U6" s="12" t="s">
        <v>25</v>
      </c>
      <c r="V6" s="4" t="s">
        <v>27</v>
      </c>
    </row>
  </sheetData>
  <autoFilter ref="A1:X1" xr:uid="{0253FD36-6E03-42A4-9659-F22DA23DE40C}"/>
  <phoneticPr fontId="3"/>
  <pageMargins left="0.7" right="0.7" top="0.75" bottom="0.75" header="0.3" footer="0.3"/>
  <pageSetup paperSize="9" orientation="portrait" horizontalDpi="4294967292" verticalDpi="4294967292" r:id="rId1"/>
  <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vt:i4>
      </vt:variant>
    </vt:vector>
  </HeadingPairs>
  <TitlesOfParts>
    <vt:vector size="1" baseType="lpstr">
      <vt:lpstr>KUW_SAG_HIG_SKM_SGW_20260314</vt:lpstr>
    </vt:vector>
  </TitlesOfParts>
  <Company>Hokkaido Univ.</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ISHIMURA TOYOHO</dc:creator>
  <cp:lastModifiedBy>T.Ishimura</cp:lastModifiedBy>
  <dcterms:created xsi:type="dcterms:W3CDTF">2016-12-10T10:27:28Z</dcterms:created>
  <dcterms:modified xsi:type="dcterms:W3CDTF">2026-03-17T07:30:17Z</dcterms:modified>
</cp:coreProperties>
</file>